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ference Cost" sheetId="2" r:id="rId6"/>
    <sheet state="visible" name="Event Budget" sheetId="3" r:id="rId7"/>
    <sheet state="visible" name="Budget Detail" sheetId="4" r:id="rId8"/>
    <sheet state="visible" name="Manpower" sheetId="5" r:id="rId9"/>
    <sheet state="visible" name="Vendor" sheetId="6" r:id="rId10"/>
    <sheet state="visible" name="Sponsorship" sheetId="7" r:id="rId11"/>
    <sheet state="visible" name="Commercial" sheetId="8" r:id="rId12"/>
    <sheet state="visible" name="Cashflow" sheetId="9" r:id="rId13"/>
    <sheet state="visible" name="Scenario" sheetId="10" r:id="rId14"/>
    <sheet state="visible" name="Funding &amp; ROI" sheetId="11" r:id="rId15"/>
    <sheet state="visible" name="Risk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Chọn: Conservative / Base Case / Aggressive.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100k USD đã trả 31/5/2025 (Opening); phần còn lại (prize+media) theo milestone, bulk trước sự kiện.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Golf House đã thanh toán 100,000 USD bản quyền ngày 31/05/2025 (sunk cost).</t>
      </text>
    </comment>
    <comment authorId="0" ref="C9">
      <text>
        <t xml:space="preserve">Phí Legends không đổi giữa các kịch bản (cam kết hợp đồng). Link từ Reference Cost (725k USD × tỷ giá).</t>
      </text>
    </comment>
    <comment authorId="0" ref="D14">
      <text>
        <t xml:space="preserve">Doanh thu (tài trợ+thương mại) = Tổng chi phí × hệ số. 1,00 = hoà vốn; 1,05/1,10 = lãi 5%/10%.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Media value (broadcast+PR+digital) — indicative; chưa gồm nation branding &amp; tourism (định tính).</t>
      </text>
    </comment>
  </commentList>
</comments>
</file>

<file path=xl/sharedStrings.xml><?xml version="1.0" encoding="utf-8"?>
<sst xmlns="http://schemas.openxmlformats.org/spreadsheetml/2006/main" count="573" uniqueCount="368">
  <si>
    <t>EXECUTIVE DASHBOARD — Vietnam Legends Festival 2026</t>
  </si>
  <si>
    <t>Financial Model | Local Partner: The Golf House | Event 18–23/8/2026 | KPI: tỷ VND</t>
  </si>
  <si>
    <t>KỊCH BẢN ĐANG CHỌN →</t>
  </si>
  <si>
    <t>Scenario selector ( bấm optional: Conservative / Base Case / Aggressive.)</t>
  </si>
  <si>
    <t>Base Case</t>
  </si>
  <si>
    <t>TỔNG NGÂN SÁCH (chi phí)</t>
  </si>
  <si>
    <t>TỔNG DOANH THU</t>
  </si>
  <si>
    <t>LỢI NHUẬN RÒNG</t>
  </si>
  <si>
    <t>TOUR RIGHTS ĐÃ TRẢ</t>
  </si>
  <si>
    <t>tỷ VND</t>
  </si>
  <si>
    <t>tỷ (100k USD·31/5/25)</t>
  </si>
  <si>
    <t>COST COVERAGE</t>
  </si>
  <si>
    <t>BIÊN LỢI NHUẬN</t>
  </si>
  <si>
    <t>ROI</t>
  </si>
  <si>
    <t>PEAK WORKING CAPITAL</t>
  </si>
  <si>
    <t>DT / chi phí</t>
  </si>
  <si>
    <t>% doanh thu</t>
  </si>
  <si>
    <t>net / chi phí</t>
  </si>
  <si>
    <t>CƠ CẤU CHI PHÍ (kịch bản chọn) — tỷ VND</t>
  </si>
  <si>
    <t>CƠ CẤU DOANH THU (kịch bản chọn) — tỷ VND</t>
  </si>
  <si>
    <t>Hạng mục</t>
  </si>
  <si>
    <t>Số tiền (tỷ)</t>
  </si>
  <si>
    <t>% tổng</t>
  </si>
  <si>
    <t>Nguồn thu</t>
  </si>
  <si>
    <t>Tour Rights &amp; Legends Fee</t>
  </si>
  <si>
    <t>Title Partner</t>
  </si>
  <si>
    <t>Event Production</t>
  </si>
  <si>
    <t>Diamond Sponsor</t>
  </si>
  <si>
    <t>Golf Operations</t>
  </si>
  <si>
    <t>Platinum Sponsor</t>
  </si>
  <si>
    <t>Hospitality</t>
  </si>
  <si>
    <t>Official Partner</t>
  </si>
  <si>
    <t>Marketing &amp; Communications</t>
  </si>
  <si>
    <t>VIP Packages</t>
  </si>
  <si>
    <t>Logistics</t>
  </si>
  <si>
    <t>Pro-Am Slots</t>
  </si>
  <si>
    <t>Contingency</t>
  </si>
  <si>
    <t>Booth &amp; Activation</t>
  </si>
  <si>
    <t>TỔNG NGÂN SÁCH</t>
  </si>
  <si>
    <t xml:space="preserve">  • Tour Rights đã trả (31/5/25)</t>
  </si>
  <si>
    <t>SO SÁNH 3 KỊCH BẢN — tỷ VND</t>
  </si>
  <si>
    <t>Chỉ tiêu</t>
  </si>
  <si>
    <t>Conservative</t>
  </si>
  <si>
    <t>Aggressive</t>
  </si>
  <si>
    <t>Tổng ngân sách</t>
  </si>
  <si>
    <t>Tổng doanh thu</t>
  </si>
  <si>
    <t>Lợi nhuận ròng</t>
  </si>
  <si>
    <t>Cost coverage</t>
  </si>
  <si>
    <t>Đối chiếu Reference Cost (sheet riêng): Gross 48,6 tỷ = GH net 31,8 tỷ + Đối tác/in-kind 16,8 tỷ. Phí Legends 18,85 tỷ (gồm 100k USD đã trả) cố định trong mọi kịch bản.</t>
  </si>
  <si>
    <t>RECONCILIATION — CHI PHÍ THAM KHẢO (LT Fest 18–23/08/2026)</t>
  </si>
  <si>
    <t>Nguồn: file 'Chi_Phi_LT_Fest_Aug2026' (user). Section A theo USD; Section B theo VND. Quy đổi triệu VND theo USD/VND.</t>
  </si>
  <si>
    <t>Tỷ giá USD/VND</t>
  </si>
  <si>
    <t>A. PHÍ LEGENDS (USD)</t>
  </si>
  <si>
    <t>ĐVT</t>
  </si>
  <si>
    <t>SL</t>
  </si>
  <si>
    <t>Đơn giá (USD)</t>
  </si>
  <si>
    <t>Thành tiền (USD)</t>
  </si>
  <si>
    <t>Đối tác (USD)</t>
  </si>
  <si>
    <t>GolfHouse (USD)</t>
  </si>
  <si>
    <t>GH (triệu VND)</t>
  </si>
  <si>
    <t>Gross (triệu VND)</t>
  </si>
  <si>
    <t>Bản quyền (Tour Rights)</t>
  </si>
  <si>
    <t>năm</t>
  </si>
  <si>
    <t>Đã thanh toán 31/05/2025</t>
  </si>
  <si>
    <t>Giải thưởng (Prize fund)</t>
  </si>
  <si>
    <t>Đối tác 450k + GH 550k</t>
  </si>
  <si>
    <t>Truyền thông quốc tế Legends</t>
  </si>
  <si>
    <t>Tổng A — Phí Legends</t>
  </si>
  <si>
    <t>B. TỔ CHỨC GIẢI (VND)</t>
  </si>
  <si>
    <t>Đơn giá (VND)</t>
  </si>
  <si>
    <t>Thành tiền (triệu)</t>
  </si>
  <si>
    <t>Bên chi trả</t>
  </si>
  <si>
    <t>GH (triệu)</t>
  </si>
  <si>
    <t>Partner (triệu)</t>
  </si>
  <si>
    <t>Vé khứ hồi nội địa (nếu có)</t>
  </si>
  <si>
    <t>Vé</t>
  </si>
  <si>
    <t>NTT</t>
  </si>
  <si>
    <t>Họp báo</t>
  </si>
  <si>
    <t>Gói</t>
  </si>
  <si>
    <t>GH</t>
  </si>
  <si>
    <t>Xe di chuyển – lưu trú – ăn uống 100 VĐV + 30 BTC (1 tuần)</t>
  </si>
  <si>
    <t>Người</t>
  </si>
  <si>
    <t>Sân Golf (nguyên ngày T3–CN, in-kind)</t>
  </si>
  <si>
    <t>Ngày</t>
  </si>
  <si>
    <t>Bảo hiểm giải đấu + HIO (HD Agribank)</t>
  </si>
  <si>
    <t>Trọng tài</t>
  </si>
  <si>
    <t>Tổ chức sự kiện (golf / gian hàng / entertainment)</t>
  </si>
  <si>
    <t>Giải</t>
  </si>
  <si>
    <t>Truyền thông báo đài trong &amp; ngoài nước</t>
  </si>
  <si>
    <t>Sản xuất truyền hình trực tiếp</t>
  </si>
  <si>
    <t>Chi phí truyền thông Social / Digital</t>
  </si>
  <si>
    <t>Phí dự phòng</t>
  </si>
  <si>
    <t>Tổng B — Tổ chức giải</t>
  </si>
  <si>
    <t>TỔNG HỢP &amp; ĐỐI CHIẾU (triệu VND)</t>
  </si>
  <si>
    <t>Tổng chi phí sự kiện (GROSS)</t>
  </si>
  <si>
    <t>Đối tác &amp; in-kind (Partner)</t>
  </si>
  <si>
    <t>Chi phí Golf House (NET CASH)</t>
  </si>
  <si>
    <t>CROSSWALK → hạng mục mô hình (GH net cash, tham chiếu)</t>
  </si>
  <si>
    <t>Hạng mục mô hình</t>
  </si>
  <si>
    <t>% GH net</t>
  </si>
  <si>
    <t>TỔNG (= GH net)</t>
  </si>
  <si>
    <t>EVENT BUDGET — Budget Summary</t>
  </si>
  <si>
    <t>Đơn vị: triệu VND | Cột SELECTED = kịch bản đang chọn. Tour Rights tách rõ phần đã trả 31/05/2025.</t>
  </si>
  <si>
    <t>Kịch bản:</t>
  </si>
  <si>
    <t>Hạng mục chi phí</t>
  </si>
  <si>
    <t>Tỷ trọng VH</t>
  </si>
  <si>
    <t>SELECTED</t>
  </si>
  <si>
    <t>Ghi chú</t>
  </si>
  <si>
    <t>Phí Legends cố định (link Reference)</t>
  </si>
  <si>
    <t>Tổ chức sự kiện</t>
  </si>
  <si>
    <t>(gồm trong tổ chức SK)</t>
  </si>
  <si>
    <t>Họp báo+báo đài+SX TH</t>
  </si>
  <si>
    <t>Vé+vận chuyển</t>
  </si>
  <si>
    <t>Bảo hiểm+HIO</t>
  </si>
  <si>
    <t>CHI TIẾT TOUR RIGHTS &amp; LEGENDS FEE (USD)</t>
  </si>
  <si>
    <t>Bản quyền (Tour Rights) — đã trả 31/05/2025</t>
  </si>
  <si>
    <t>Giải thưởng (Prize) — phần GH</t>
  </si>
  <si>
    <t>Tổng Legends fee (cố định)</t>
  </si>
  <si>
    <t>Manpower + Vendor (bottom-up, gross):</t>
  </si>
  <si>
    <t>DETAILED BUDGET BREAKDOWN (SELECTED scenario)</t>
  </si>
  <si>
    <t>Đơn vị: triệu VND | Số tiền dòng = tổng hạng mục (SELECTED) × tỷ trọng nội bộ (input xanh).</t>
  </si>
  <si>
    <t>Hạng mục / dòng chi tiết</t>
  </si>
  <si>
    <t>Tỷ trọng nội bộ</t>
  </si>
  <si>
    <t>Số tiền (triệu)</t>
  </si>
  <si>
    <t>Tổng hạng mục</t>
  </si>
  <si>
    <t>Bản quyền (đã trả 100k USD · 31/5/25)</t>
  </si>
  <si>
    <t>Sunk cost</t>
  </si>
  <si>
    <t>Giải thưởng – phần GH (550k USD)</t>
  </si>
  <si>
    <t>Prize fund</t>
  </si>
  <si>
    <t>Truyền thông quốc tế Legends (75k USD)</t>
  </si>
  <si>
    <t xml:space="preserve">  Check (Σ−tổng)</t>
  </si>
  <si>
    <t>Overlay &amp; temporary structures</t>
  </si>
  <si>
    <t>Technical (AV, LED, power)</t>
  </si>
  <si>
    <t>Branding &amp; signage</t>
  </si>
  <si>
    <t>Gian hàng &amp; entertainment</t>
  </si>
  <si>
    <t>Course setup &amp; agronomy</t>
  </si>
  <si>
    <t>Scoring &amp; leaderboard</t>
  </si>
  <si>
    <t>Caddies, carts &amp; on-course</t>
  </si>
  <si>
    <t>VIP lounge &amp; F&amp;B</t>
  </si>
  <si>
    <t>Welcome dinner</t>
  </si>
  <si>
    <t>Gala &amp; awards</t>
  </si>
  <si>
    <t>Broadcast &amp; livestream</t>
  </si>
  <si>
    <t>Content &amp; creative</t>
  </si>
  <si>
    <t>PR, media &amp; social</t>
  </si>
  <si>
    <t>OOH / media buying</t>
  </si>
  <si>
    <t>Accommodation (room block)</t>
  </si>
  <si>
    <t>Transport &amp; fleet</t>
  </si>
  <si>
    <t>Cargo &amp; customs</t>
  </si>
  <si>
    <t>Bảo hiểm + HIO &amp; dự phòng vận hành</t>
  </si>
  <si>
    <t>FX &amp; price escalation buffer</t>
  </si>
  <si>
    <t>MANPOWER COSTING</t>
  </si>
  <si>
    <t>TỔNG CHI PHÍ NHÂN SỰ (triệu):</t>
  </si>
  <si>
    <t>Đơn vị: triệu VND | Cost = Headcount × Số tháng × Đơn giá/tháng.</t>
  </si>
  <si>
    <t>Vị trí / chức năng</t>
  </si>
  <si>
    <t>Khối</t>
  </si>
  <si>
    <t>Headcount</t>
  </si>
  <si>
    <t>Số tháng</t>
  </si>
  <si>
    <t>Đơn giá/tháng</t>
  </si>
  <si>
    <t>Chi phí</t>
  </si>
  <si>
    <t>Festival Director</t>
  </si>
  <si>
    <t>Admin</t>
  </si>
  <si>
    <t>Operations Director</t>
  </si>
  <si>
    <t>Commercial Director</t>
  </si>
  <si>
    <t>PMO / Coordinators</t>
  </si>
  <si>
    <t>Finance &amp; Procurement</t>
  </si>
  <si>
    <t>Legal &amp; Compliance</t>
  </si>
  <si>
    <t>Government &amp; Protocol</t>
  </si>
  <si>
    <t>Tournament Ops team</t>
  </si>
  <si>
    <t>Golf</t>
  </si>
  <si>
    <t>Player Services team</t>
  </si>
  <si>
    <t>Hospitality &amp; VIP team</t>
  </si>
  <si>
    <t>Media, PR &amp; Content</t>
  </si>
  <si>
    <t>Marketing</t>
  </si>
  <si>
    <t>Broadcast liaison &amp; crew</t>
  </si>
  <si>
    <t>Sponsorship account mgrs</t>
  </si>
  <si>
    <t>Logistics &amp; Transport</t>
  </si>
  <si>
    <t>Accreditation &amp; Security</t>
  </si>
  <si>
    <t>Production</t>
  </si>
  <si>
    <t>Volunteer mgr &amp; leads</t>
  </si>
  <si>
    <t>Event-week volunteers</t>
  </si>
  <si>
    <t>Interpreters &amp; liaison</t>
  </si>
  <si>
    <t>TỔNG NHÂN SỰ</t>
  </si>
  <si>
    <t>% của ngân sách Base Case</t>
  </si>
  <si>
    <t>VENDOR COSTING</t>
  </si>
  <si>
    <t>TỔNG CHI PHÍ VENDOR (triệu):</t>
  </si>
  <si>
    <t>Đơn vị: triệu VND | Cost = Qty × Đơn giá. Deposit% = tạm ứng khi ký.</t>
  </si>
  <si>
    <t>Gói vendor</t>
  </si>
  <si>
    <t>Qty</t>
  </si>
  <si>
    <t>Đơn giá</t>
  </si>
  <si>
    <t>Deposit %</t>
  </si>
  <si>
    <t>Overlay &amp; structures</t>
  </si>
  <si>
    <t>gói</t>
  </si>
  <si>
    <t>AV, LED &amp; technical</t>
  </si>
  <si>
    <t>Stage, gala &amp; ceremony</t>
  </si>
  <si>
    <t>Content &amp; photography</t>
  </si>
  <si>
    <t>Hospitality build &amp; F&amp;B</t>
  </si>
  <si>
    <t>Welcome dinner &amp; gala</t>
  </si>
  <si>
    <t>Transport fleet</t>
  </si>
  <si>
    <t>Accommodation block</t>
  </si>
  <si>
    <t>Security services</t>
  </si>
  <si>
    <t>Medical &amp; emergency</t>
  </si>
  <si>
    <t>Accreditation system</t>
  </si>
  <si>
    <t>Merchandise</t>
  </si>
  <si>
    <t>Cleaning &amp; sustainability</t>
  </si>
  <si>
    <t>Event &amp; liability insurance</t>
  </si>
  <si>
    <t>TỔNG VENDOR</t>
  </si>
  <si>
    <t>Tạm ứng khi ký (deposit):</t>
  </si>
  <si>
    <t>SPONSORSHIP REVENUE MODEL</t>
  </si>
  <si>
    <t>Đơn vị: triệu VND | Target theo kịch bản; Pipeline ≥ 3×.</t>
  </si>
  <si>
    <t>Hạng tài trợ</t>
  </si>
  <si>
    <t>Giá gói (range)</t>
  </si>
  <si>
    <t>Số slot</t>
  </si>
  <si>
    <t>Commit %</t>
  </si>
  <si>
    <t>Pipeline (3×)</t>
  </si>
  <si>
    <t>15–25 tỷ</t>
  </si>
  <si>
    <t>10–15 tỷ</t>
  </si>
  <si>
    <t>6–10 tỷ</t>
  </si>
  <si>
    <t>3–6 tỷ</t>
  </si>
  <si>
    <t>TỔNG TÀI TRỢ</t>
  </si>
  <si>
    <t>Pipeline weighted (risk-adjusted):</t>
  </si>
  <si>
    <t>COMMERCIAL REVENUE MODEL</t>
  </si>
  <si>
    <t>Đơn vị: triệu VND | Implied units = Target / Đơn giá.</t>
  </si>
  <si>
    <t>Đơn giá/unit</t>
  </si>
  <si>
    <t>Implied units</t>
  </si>
  <si>
    <t>TỔNG THƯƠNG MẠI</t>
  </si>
  <si>
    <t>MONTHLY CASHFLOW — 06/2025 → Event (18–23/8/2026) → Post-Event</t>
  </si>
  <si>
    <t>Đơn vị: triệu VND | Opening = Tour Rights 100k USD đã trả 31/05/2025. Funding draw giữ tồn quỹ ≥ 0.</t>
  </si>
  <si>
    <t>PEAK WORKING CAPITAL (triệu):</t>
  </si>
  <si>
    <t>Tháng (relative)</t>
  </si>
  <si>
    <t>Opening ≤31/05/25</t>
  </si>
  <si>
    <t>T-14</t>
  </si>
  <si>
    <t>T-13</t>
  </si>
  <si>
    <t>T-12</t>
  </si>
  <si>
    <t>T-11</t>
  </si>
  <si>
    <t>T-10</t>
  </si>
  <si>
    <t>T-9</t>
  </si>
  <si>
    <t>T-8</t>
  </si>
  <si>
    <t>T-7</t>
  </si>
  <si>
    <t>T-6</t>
  </si>
  <si>
    <t>T-5</t>
  </si>
  <si>
    <t>T-4</t>
  </si>
  <si>
    <t>T-3</t>
  </si>
  <si>
    <t>T-2</t>
  </si>
  <si>
    <t>T-1</t>
  </si>
  <si>
    <t>T0</t>
  </si>
  <si>
    <t>T+1</t>
  </si>
  <si>
    <t>T+2</t>
  </si>
  <si>
    <t>T+3</t>
  </si>
  <si>
    <t>TỔNG</t>
  </si>
  <si>
    <t>Lịch (MM/YY)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</si>
  <si>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</si>
  <si>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</si>
  <si>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</si>
  <si>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</si>
  <si>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</si>
  <si>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</si>
  <si>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</si>
  <si>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</si>
  <si>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01/26</t>
  </si>
  <si>
    <t>02/26</t>
  </si>
  <si>
    <t>03/26</t>
  </si>
  <si>
    <t>04/26</t>
  </si>
  <si>
    <t>05/26</t>
  </si>
  <si>
    <t>06/26</t>
  </si>
  <si>
    <t>07/26</t>
  </si>
  <si>
    <t>08/26</t>
  </si>
  <si>
    <t>09/26</t>
  </si>
  <si>
    <t>10/26</t>
  </si>
  <si>
    <t>11/26</t>
  </si>
  <si>
    <t>PHASING ASSUMPTIONS (% theo dòng — input xanh)</t>
  </si>
  <si>
    <t>Σ</t>
  </si>
  <si>
    <t>đã trả</t>
  </si>
  <si>
    <t>Sponsorship</t>
  </si>
  <si>
    <t>Commercial</t>
  </si>
  <si>
    <t>DÒNG TIỀN (triệu VND)</t>
  </si>
  <si>
    <t>Tổng</t>
  </si>
  <si>
    <t>DÒNG TIỀN VÀO</t>
  </si>
  <si>
    <t>Tài trợ (Sponsorship)</t>
  </si>
  <si>
    <t>Thương mại (Commercial)</t>
  </si>
  <si>
    <t>Tổng tiền vào</t>
  </si>
  <si>
    <t>DÒNG TIỀN RA</t>
  </si>
  <si>
    <t>Tổng tiền ra</t>
  </si>
  <si>
    <t>Dòng tiền hoạt động ròng</t>
  </si>
  <si>
    <t>Luỹ kế hoạt động (trước funding)</t>
  </si>
  <si>
    <t>Funding luỹ kế cần (đệm 0)</t>
  </si>
  <si>
    <t>Funding draw trong kỳ</t>
  </si>
  <si>
    <t>Tồn quỹ cuối kỳ (sau funding)</t>
  </si>
  <si>
    <t>SCENARIO ANALYSIS — Conservative / Base / Aggressive</t>
  </si>
  <si>
    <t>Đơn vị: triệu VND | Tổng chi phí = quy mô; Phí Legends cố định (link Reference); vận hành lấp phần còn lại. Input xanh.</t>
  </si>
  <si>
    <t>GIẢ ĐỊNH CHUNG</t>
  </si>
  <si>
    <t>Tour Rights đã thanh toán (USD)</t>
  </si>
  <si>
    <t>Tour Rights đã thanh toán (triệu VND)</t>
  </si>
  <si>
    <t>Ngày thanh toán</t>
  </si>
  <si>
    <t>31/05/2025</t>
  </si>
  <si>
    <t>Phí Legends cố định (bản quyền + giải thưởng + TT quốc tế)</t>
  </si>
  <si>
    <t>KỊCH BẢN</t>
  </si>
  <si>
    <t>Tỷ trọng</t>
  </si>
  <si>
    <t>Tổng chi phí (Total Budget)</t>
  </si>
  <si>
    <t>Hệ số phủ chi phí (revenue coverage)</t>
  </si>
  <si>
    <t>Tổng doanh thu mục tiêu</t>
  </si>
  <si>
    <t>CHI PHÍ THEO HẠNG MỤC</t>
  </si>
  <si>
    <t>cố định</t>
  </si>
  <si>
    <t>Tổng chi phí</t>
  </si>
  <si>
    <t xml:space="preserve">   — Tour Rights đã thanh toán (31/05/2025)</t>
  </si>
  <si>
    <t xml:space="preserve">   — Legends còn lại (prize + media + balance)</t>
  </si>
  <si>
    <t>KPI THEO KỊCH BẢN</t>
  </si>
  <si>
    <t>Lợi nhuận ròng (Net surplus)</t>
  </si>
  <si>
    <t>Biên lợi nhuận (% doanh thu)</t>
  </si>
  <si>
    <t>Cost coverage (DT / chi phí)</t>
  </si>
  <si>
    <t>ROI (Net / chi phí)</t>
  </si>
  <si>
    <t>PHÂN BỔ DOANH THU THEO NGUỒN</t>
  </si>
  <si>
    <t>Allocation</t>
  </si>
  <si>
    <t>Sponsorship subtotal (Title→Official)</t>
  </si>
  <si>
    <t>Commercial subtotal (VIP→Booth)</t>
  </si>
  <si>
    <t>FUNDING REQUIREMENT &amp; ROI</t>
  </si>
  <si>
    <t>Đơn vị: triệu VND (trừ %). Kịch bản đang chọn. Doanh thu ≥ chi phí nên nhu cầu vốn chủ yếu là vốn lưu động (timing).</t>
  </si>
  <si>
    <t>NHU CẦU VỐN</t>
  </si>
  <si>
    <t>ROI &amp; VALUE METRICS</t>
  </si>
  <si>
    <t>Tổng ngân sách (chi phí)</t>
  </si>
  <si>
    <t>← tỷ VND</t>
  </si>
  <si>
    <t>Revenue / Cost (coverage)</t>
  </si>
  <si>
    <t xml:space="preserve">  trong đó Tour Rights đã trả (sunk)</t>
  </si>
  <si>
    <t>Net margin</t>
  </si>
  <si>
    <t>Tổng doanh thu (kịch bản chọn)</t>
  </si>
  <si>
    <t>Est. media value (input)</t>
  </si>
  <si>
    <t>Peak Working Capital (timing)</t>
  </si>
  <si>
    <t>Tổng giá trị (revenue + media)</t>
  </si>
  <si>
    <t>Đệm an toàn (10% WC)</t>
  </si>
  <si>
    <t>Total value / Cost</t>
  </si>
  <si>
    <t>FACILITY VỐN LƯU ĐỘNG ĐỀ XUẤT</t>
  </si>
  <si>
    <t>Year-2 (2027) renewal upside</t>
  </si>
  <si>
    <t>NGUỒN VỐN ĐỀ XUẤT (illustrative)</t>
  </si>
  <si>
    <t>Giá trị vô hình (định tính):</t>
  </si>
  <si>
    <t>Nguồn</t>
  </si>
  <si>
    <t>% facility</t>
  </si>
  <si>
    <t>Nation branding · xúc tiến đầu tư · du lịch cao cấp · hệ sinh thái golf · IP thường niên 2027+.</t>
  </si>
  <si>
    <t>Đối tác chiến lược / Host</t>
  </si>
  <si>
    <t>Hỗ trợ ngân sách &amp; xúc tiến</t>
  </si>
  <si>
    <t>Hạn mức vốn lưu động (bank)</t>
  </si>
  <si>
    <t>Nhà đầu tư / equity</t>
  </si>
  <si>
    <t>TỔNG NGUỒN</t>
  </si>
  <si>
    <t>RISK &amp; SENSITIVITY ANALYSIS</t>
  </si>
  <si>
    <t>Net result (triệu) = DT mục tiêu (kịch bản chọn) × %đạt − Chi phí × (1+%vượt).</t>
  </si>
  <si>
    <t>SENSITIVITY: Net result (triệu) — hàng = % doanh thu đạt, cột = % chi phí vượt</t>
  </si>
  <si>
    <t>Rev% \ Cost%</t>
  </si>
  <si>
    <t>Breakeven analysis</t>
  </si>
  <si>
    <t>% doanh thu cần đạt để hoà vốn</t>
  </si>
  <si>
    <t>→ Conservative (coverage 100%): cần 100%. Base/Aggressive có biên an toàn.</t>
  </si>
  <si>
    <t>KEY RISK DRIVERS &amp; MITIGATION</t>
  </si>
  <si>
    <t>Rủi ro</t>
  </si>
  <si>
    <t>Khả năng</t>
  </si>
  <si>
    <t>Tác động</t>
  </si>
  <si>
    <t>Giảm thiểu</t>
  </si>
  <si>
    <t>Giải thưởng (prize) lớn — đối tác chia sẻ</t>
  </si>
  <si>
    <t>T.Bình</t>
  </si>
  <si>
    <t>Cao</t>
  </si>
  <si>
    <t>HĐ chia sẻ prize, milestone trước sự kiện, FX buffer</t>
  </si>
  <si>
    <t>Sponsorship dưới mục tiêu</t>
  </si>
  <si>
    <t>Pipeline ≥3×, anchor Title sớm, gói linh hoạt</t>
  </si>
  <si>
    <t>Chi phí vận hành vượt</t>
  </si>
  <si>
    <t>Contingency, hợp đồng giá cố định, change-request control</t>
  </si>
  <si>
    <t>Dòng tiền lệch pha</t>
  </si>
  <si>
    <t>Facility vốn lưu động, deposit sponsor sớm, milestone vendor</t>
  </si>
  <si>
    <t>Permit/chính quyền chậm</t>
  </si>
  <si>
    <t>T.Thấp</t>
  </si>
  <si>
    <t>Permit roadmap T-30, government lead</t>
  </si>
  <si>
    <t>Tỷ giá USD/VND (Legends fee)</t>
  </si>
  <si>
    <t>Rights đã trả; FX buffer cho prize/media còn lại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</si>
</sst>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;\(#,##0.0\);\-"/>
    <numFmt numFmtId="165" formatCode="0.0%"/>
    <numFmt numFmtId="166" formatCode="\$#,##0"/>
    <numFmt numFmtId="167" formatCode="#,##0;\(#,##0\);\-"/>
    <numFmt numFmtId="168" formatCode="0.0\x"/>
  </numFmts>
  <fonts count="39">
    <font>
      <sz val="11.0"/>
      <color theme="1"/>
      <name val="Calibri"/>
      <scheme val="minor"/>
    </font>
    <font>
      <b/>
      <sz val="16.0"/>
      <color rgb="FF522367"/>
      <name val="Calibri"/>
    </font>
    <font>
      <i/>
      <sz val="9.0"/>
      <color rgb="FF7A6E86"/>
      <name val="Calibri"/>
    </font>
    <font>
      <b/>
      <sz val="11.0"/>
      <color rgb="FF522367"/>
      <name val="Calibri"/>
    </font>
    <font>
      <b/>
      <sz val="12.0"/>
      <color rgb="FF0000FF"/>
      <name val="Calibri"/>
    </font>
    <font>
      <sz val="8.0"/>
      <color rgb="FFBBBBBB"/>
      <name val="Calibri"/>
    </font>
    <font>
      <b/>
      <sz val="9.0"/>
      <color rgb="FFFFFFFF"/>
      <name val="Calibri"/>
    </font>
    <font>
      <b/>
      <sz val="17.0"/>
      <color rgb="FF522367"/>
      <name val="Calibri"/>
    </font>
    <font>
      <b/>
      <sz val="17.0"/>
      <color rgb="FF8F23B3"/>
      <name val="Calibri"/>
    </font>
    <font>
      <b/>
      <sz val="17.0"/>
      <color rgb="FFC2A24E"/>
      <name val="Calibri"/>
    </font>
    <font>
      <i/>
      <sz val="8.0"/>
      <color rgb="FF7A6E86"/>
      <name val="Calibri"/>
    </font>
    <font>
      <b/>
      <sz val="10.0"/>
      <color rgb="FF522367"/>
      <name val="Calibri"/>
    </font>
    <font>
      <sz val="10.0"/>
      <color rgb="FF000000"/>
      <name val="Calibri"/>
    </font>
    <font>
      <b/>
      <sz val="9.0"/>
      <color rgb="FF34184A"/>
      <name val="Calibri"/>
    </font>
    <font>
      <sz val="10.0"/>
      <color rgb="FF008000"/>
      <name val="Calibri"/>
    </font>
    <font>
      <b/>
      <sz val="10.0"/>
      <color rgb="FF000000"/>
      <name val="Calibri"/>
    </font>
    <font>
      <i/>
      <sz val="9.0"/>
      <color rgb="FF000000"/>
      <name val="Calibri"/>
    </font>
    <font>
      <i/>
      <sz val="10.0"/>
      <color rgb="FF008000"/>
      <name val="Calibri"/>
    </font>
    <font>
      <sz val="9.0"/>
      <color rgb="FF000000"/>
      <name val="Calibri"/>
    </font>
    <font>
      <sz val="10.0"/>
      <color rgb="FF0000FF"/>
      <name val="Calibri"/>
    </font>
    <font>
      <sz val="9.0"/>
      <color rgb="FF8F23B3"/>
      <name val="Calibri"/>
    </font>
    <font>
      <sz val="9.0"/>
      <color rgb="FF008000"/>
      <name val="Calibri"/>
    </font>
    <font>
      <b/>
      <sz val="10.0"/>
      <color rgb="FF8F23B3"/>
      <name val="Calibri"/>
    </font>
    <font>
      <b/>
      <sz val="10.0"/>
      <color rgb="FF008000"/>
      <name val="Calibri"/>
    </font>
    <font>
      <sz val="8.0"/>
      <color rgb="FF7A6E86"/>
      <name val="Calibri"/>
    </font>
    <font>
      <i/>
      <sz val="10.0"/>
      <color rgb="FF000000"/>
      <name val="Calibri"/>
    </font>
    <font>
      <sz val="9.0"/>
      <color rgb="FF7A6E86"/>
      <name val="Calibri"/>
    </font>
    <font>
      <b/>
      <sz val="8.0"/>
      <color rgb="FFFFFFFF"/>
      <name val="Calibri"/>
    </font>
    <font>
      <b/>
      <sz val="8.0"/>
      <color rgb="FF34184A"/>
      <name val="Calibri"/>
    </font>
    <font>
      <sz val="8.0"/>
      <color rgb="FF34184A"/>
      <name val="Calibri"/>
    </font>
    <font>
      <sz val="8.0"/>
      <color rgb="FF0000FF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8.0"/>
      <color rgb="FF008000"/>
      <name val="Calibri"/>
    </font>
    <font>
      <sz val="8.0"/>
      <color rgb="FF8F23B3"/>
      <name val="Calibri"/>
    </font>
    <font>
      <b/>
      <sz val="10.0"/>
      <color rgb="FF0000FF"/>
      <name val="Calibri"/>
    </font>
    <font>
      <b/>
      <sz val="9.0"/>
      <color rgb="FF000000"/>
      <name val="Calibri"/>
    </font>
    <font>
      <i/>
      <sz val="10.0"/>
      <color rgb="FF7A6E86"/>
      <name val="Calibri"/>
    </font>
    <font>
      <b/>
      <sz val="10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2A24E"/>
        <bgColor rgb="FFC2A24E"/>
      </patternFill>
    </fill>
    <fill>
      <patternFill patternType="solid">
        <fgColor rgb="FF522367"/>
        <bgColor rgb="FF522367"/>
      </patternFill>
    </fill>
    <fill>
      <patternFill patternType="solid">
        <fgColor rgb="FFF2ECF8"/>
        <bgColor rgb="FFF2ECF8"/>
      </patternFill>
    </fill>
    <fill>
      <patternFill patternType="solid">
        <fgColor rgb="FFE9DCF3"/>
        <bgColor rgb="FFE9DCF3"/>
      </patternFill>
    </fill>
  </fills>
  <borders count="3">
    <border/>
    <border>
      <left style="thin">
        <color rgb="FFD9CCE6"/>
      </left>
      <right style="thin">
        <color rgb="FFD9CCE6"/>
      </right>
      <top style="thin">
        <color rgb="FFD9CCE6"/>
      </top>
      <bottom style="thin">
        <color rgb="FFD9CC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right" shrinkToFit="0" vertical="center" wrapText="0"/>
    </xf>
    <xf borderId="1" fillId="0" fontId="3" numFmtId="0" xfId="0" applyAlignment="1" applyBorder="1" applyFont="1">
      <alignment horizontal="right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4" fontId="7" numFmtId="164" xfId="0" applyAlignment="1" applyBorder="1" applyFill="1" applyFont="1" applyNumberFormat="1">
      <alignment horizontal="center" shrinkToFit="0" vertical="center" wrapText="0"/>
    </xf>
    <xf borderId="1" fillId="4" fontId="8" numFmtId="164" xfId="0" applyAlignment="1" applyBorder="1" applyFont="1" applyNumberFormat="1">
      <alignment horizontal="center" shrinkToFit="0" vertical="center" wrapText="0"/>
    </xf>
    <xf borderId="1" fillId="4" fontId="9" numFmtId="164" xfId="0" applyAlignment="1" applyBorder="1" applyFont="1" applyNumberFormat="1">
      <alignment horizontal="center"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" fillId="4" fontId="7" numFmtId="165" xfId="0" applyAlignment="1" applyBorder="1" applyFont="1" applyNumberFormat="1">
      <alignment horizontal="center" shrinkToFit="0" vertical="center" wrapText="0"/>
    </xf>
    <xf borderId="1" fillId="4" fontId="8" numFmtId="165" xfId="0" applyAlignment="1" applyBorder="1" applyFont="1" applyNumberFormat="1">
      <alignment horizontal="center" shrinkToFit="0" vertical="center" wrapText="0"/>
    </xf>
    <xf borderId="1" fillId="2" fontId="11" numFmtId="0" xfId="0" applyAlignment="1" applyBorder="1" applyFont="1">
      <alignment horizontal="left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5" fontId="13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0"/>
    </xf>
    <xf borderId="1" fillId="0" fontId="14" numFmtId="164" xfId="0" applyAlignment="1" applyBorder="1" applyFont="1" applyNumberFormat="1">
      <alignment shrinkToFit="0" vertical="center" wrapText="0"/>
    </xf>
    <xf borderId="1" fillId="0" fontId="12" numFmtId="165" xfId="0" applyAlignment="1" applyBorder="1" applyFont="1" applyNumberFormat="1">
      <alignment shrinkToFit="0" vertical="center" wrapText="0"/>
    </xf>
    <xf borderId="1" fillId="5" fontId="15" numFmtId="0" xfId="0" applyAlignment="1" applyBorder="1" applyFont="1">
      <alignment shrinkToFit="0" vertical="center" wrapText="0"/>
    </xf>
    <xf borderId="1" fillId="5" fontId="15" numFmtId="164" xfId="0" applyAlignment="1" applyBorder="1" applyFont="1" applyNumberFormat="1">
      <alignment shrinkToFit="0" vertical="center" wrapText="0"/>
    </xf>
    <xf borderId="1" fillId="5" fontId="15" numFmtId="165" xfId="0" applyAlignment="1" applyBorder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7" numFmtId="164" xfId="0" applyAlignment="1" applyFont="1" applyNumberFormat="1">
      <alignment shrinkToFit="0" vertical="center" wrapText="0"/>
    </xf>
    <xf borderId="1" fillId="0" fontId="14" numFmtId="165" xfId="0" applyAlignment="1" applyBorder="1" applyFont="1" applyNumberFormat="1">
      <alignment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0" fontId="14" numFmtId="3" xfId="0" applyAlignment="1" applyBorder="1" applyFont="1" applyNumberFormat="1">
      <alignment shrinkToFit="0" vertical="center" wrapText="0"/>
    </xf>
    <xf borderId="1" fillId="0" fontId="18" numFmtId="0" xfId="0" applyAlignment="1" applyBorder="1" applyFont="1">
      <alignment horizontal="center" shrinkToFit="0" vertical="center" wrapText="0"/>
    </xf>
    <xf borderId="1" fillId="0" fontId="19" numFmtId="3" xfId="0" applyAlignment="1" applyBorder="1" applyFont="1" applyNumberFormat="1">
      <alignment horizontal="center" shrinkToFit="0" vertical="center" wrapText="0"/>
    </xf>
    <xf borderId="1" fillId="0" fontId="19" numFmtId="166" xfId="0" applyAlignment="1" applyBorder="1" applyFont="1" applyNumberFormat="1">
      <alignment shrinkToFit="0" vertical="center" wrapText="0"/>
    </xf>
    <xf borderId="1" fillId="0" fontId="12" numFmtId="166" xfId="0" applyAlignment="1" applyBorder="1" applyFont="1" applyNumberFormat="1">
      <alignment shrinkToFit="0" vertical="center" wrapText="0"/>
    </xf>
    <xf borderId="1" fillId="0" fontId="12" numFmtId="167" xfId="0" applyAlignment="1" applyBorder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1" fillId="5" fontId="12" numFmtId="0" xfId="0" applyAlignment="1" applyBorder="1" applyFont="1">
      <alignment shrinkToFit="0" vertical="center" wrapText="0"/>
    </xf>
    <xf borderId="1" fillId="5" fontId="15" numFmtId="166" xfId="0" applyAlignment="1" applyBorder="1" applyFont="1" applyNumberFormat="1">
      <alignment shrinkToFit="0" vertical="center" wrapText="0"/>
    </xf>
    <xf borderId="1" fillId="5" fontId="15" numFmtId="167" xfId="0" applyAlignment="1" applyBorder="1" applyFont="1" applyNumberFormat="1">
      <alignment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19" numFmtId="3" xfId="0" applyAlignment="1" applyBorder="1" applyFont="1" applyNumberFormat="1">
      <alignment shrinkToFit="0" vertical="center" wrapText="0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4" fontId="15" numFmtId="167" xfId="0" applyAlignment="1" applyBorder="1" applyFont="1" applyNumberFormat="1">
      <alignment shrinkToFit="0" vertical="center" wrapText="0"/>
    </xf>
    <xf borderId="1" fillId="0" fontId="22" numFmtId="167" xfId="0" applyAlignment="1" applyBorder="1" applyFont="1" applyNumberFormat="1">
      <alignment shrinkToFit="0" vertical="center" wrapText="0"/>
    </xf>
    <xf borderId="1" fillId="2" fontId="11" numFmtId="167" xfId="0" applyAlignment="1" applyBorder="1" applyFont="1" applyNumberFormat="1">
      <alignment shrinkToFit="0" vertical="center" wrapText="0"/>
    </xf>
    <xf borderId="1" fillId="0" fontId="15" numFmtId="0" xfId="0" applyAlignment="1" applyBorder="1" applyFont="1">
      <alignment horizontal="right" shrinkToFit="0" vertical="center" wrapText="0"/>
    </xf>
    <xf borderId="1" fillId="2" fontId="23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shrinkToFit="0" vertical="center" wrapText="0"/>
    </xf>
    <xf borderId="1" fillId="0" fontId="14" numFmtId="167" xfId="0" applyAlignment="1" applyBorder="1" applyFont="1" applyNumberFormat="1">
      <alignment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14" numFmtId="166" xfId="0" applyAlignment="1" applyBorder="1" applyFont="1" applyNumberFormat="1">
      <alignment horizontal="center" shrinkToFit="0" vertical="center" wrapText="0"/>
    </xf>
    <xf borderId="1" fillId="4" fontId="23" numFmtId="167" xfId="0" applyAlignment="1" applyBorder="1" applyFont="1" applyNumberForma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14" numFmtId="167" xfId="0" applyAlignment="1" applyFont="1" applyNumberFormat="1">
      <alignment shrinkToFit="0" vertical="center" wrapText="0"/>
    </xf>
    <xf borderId="1" fillId="2" fontId="23" numFmtId="167" xfId="0" applyAlignment="1" applyBorder="1" applyFont="1" applyNumberFormat="1">
      <alignment shrinkToFit="0" vertical="center" wrapText="0"/>
    </xf>
    <xf borderId="1" fillId="2" fontId="16" numFmtId="0" xfId="0" applyAlignment="1" applyBorder="1" applyFont="1">
      <alignment shrinkToFit="0" vertical="center" wrapText="0"/>
    </xf>
    <xf borderId="1" fillId="0" fontId="19" numFmtId="165" xfId="0" applyAlignment="1" applyBorder="1" applyFont="1" applyNumberFormat="1">
      <alignment shrinkToFit="0" vertical="center" wrapText="0"/>
    </xf>
    <xf borderId="1" fillId="0" fontId="26" numFmtId="0" xfId="0" applyAlignment="1" applyBorder="1" applyFont="1">
      <alignment shrinkToFit="0" vertical="center" wrapText="0"/>
    </xf>
    <xf borderId="0" fillId="0" fontId="16" numFmtId="165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15" numFmtId="0" xfId="0" applyAlignment="1" applyFont="1">
      <alignment horizontal="right" shrinkToFit="0" vertical="center" wrapText="0"/>
    </xf>
    <xf borderId="2" fillId="2" fontId="3" numFmtId="167" xfId="0" applyAlignment="1" applyBorder="1" applyFont="1" applyNumberFormat="1">
      <alignment shrinkToFit="0" vertical="bottom" wrapText="0"/>
    </xf>
    <xf borderId="1" fillId="0" fontId="19" numFmtId="3" xfId="0" applyAlignment="1" applyBorder="1" applyFont="1" applyNumberFormat="1">
      <alignment horizontal="center" readingOrder="0" shrinkToFit="0" vertical="center" wrapText="0"/>
    </xf>
    <xf borderId="1" fillId="0" fontId="19" numFmtId="167" xfId="0" applyAlignment="1" applyBorder="1" applyFont="1" applyNumberFormat="1">
      <alignment shrinkToFit="0" vertical="center" wrapText="0"/>
    </xf>
    <xf borderId="1" fillId="5" fontId="15" numFmtId="3" xfId="0" applyAlignment="1" applyBorder="1" applyFont="1" applyNumberFormat="1">
      <alignment horizontal="center" shrinkToFit="0" vertical="center" wrapText="0"/>
    </xf>
    <xf borderId="0" fillId="0" fontId="12" numFmtId="165" xfId="0" applyAlignment="1" applyFont="1" applyNumberFormat="1">
      <alignment shrinkToFit="0" vertical="center" wrapText="0"/>
    </xf>
    <xf borderId="1" fillId="0" fontId="19" numFmtId="165" xfId="0" applyAlignment="1" applyBorder="1" applyFont="1" applyNumberFormat="1">
      <alignment horizontal="center" shrinkToFit="0" vertical="center" wrapText="0"/>
    </xf>
    <xf borderId="0" fillId="0" fontId="12" numFmtId="167" xfId="0" applyAlignment="1" applyFont="1" applyNumberFormat="1">
      <alignment shrinkToFit="0" vertical="center" wrapText="0"/>
    </xf>
    <xf borderId="1" fillId="0" fontId="19" numFmtId="0" xfId="0" applyAlignment="1" applyBorder="1" applyFont="1">
      <alignment horizontal="center" shrinkToFit="0" vertical="center" wrapText="0"/>
    </xf>
    <xf borderId="1" fillId="0" fontId="12" numFmtId="3" xfId="0" applyAlignment="1" applyBorder="1" applyFont="1" applyNumberFormat="1">
      <alignment shrinkToFit="0" vertical="center" wrapText="0"/>
    </xf>
    <xf borderId="1" fillId="3" fontId="27" numFmtId="0" xfId="0" applyAlignment="1" applyBorder="1" applyFont="1">
      <alignment horizontal="center" shrinkToFit="0" vertical="center" wrapText="0"/>
    </xf>
    <xf borderId="1" fillId="3" fontId="27" numFmtId="0" xfId="0" applyAlignment="1" applyBorder="1" applyFont="1">
      <alignment horizontal="center" shrinkToFit="0" vertical="center" wrapText="1"/>
    </xf>
    <xf borderId="1" fillId="5" fontId="28" numFmtId="0" xfId="0" applyAlignment="1" applyBorder="1" applyFont="1">
      <alignment shrinkToFit="0" vertical="center" wrapText="0"/>
    </xf>
    <xf borderId="1" fillId="5" fontId="29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" fillId="0" fontId="30" numFmtId="165" xfId="0" applyAlignment="1" applyBorder="1" applyFont="1" applyNumberFormat="1">
      <alignment horizontal="center" shrinkToFit="0" vertical="center" wrapText="0"/>
    </xf>
    <xf borderId="1" fillId="0" fontId="31" numFmtId="165" xfId="0" applyAlignment="1" applyBorder="1" applyFont="1" applyNumberFormat="1">
      <alignment horizontal="center" shrinkToFit="0" vertical="center" wrapText="0"/>
    </xf>
    <xf borderId="1" fillId="0" fontId="5" numFmtId="165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32" numFmtId="167" xfId="0" applyAlignment="1" applyBorder="1" applyFont="1" applyNumberFormat="1">
      <alignment shrinkToFit="0" vertical="center" wrapText="0"/>
    </xf>
    <xf borderId="1" fillId="0" fontId="15" numFmtId="167" xfId="0" applyAlignment="1" applyBorder="1" applyFont="1" applyNumberFormat="1">
      <alignment shrinkToFit="0" vertical="center" wrapText="0"/>
    </xf>
    <xf borderId="1" fillId="5" fontId="31" numFmtId="167" xfId="0" applyAlignment="1" applyBorder="1" applyFont="1" applyNumberFormat="1">
      <alignment shrinkToFit="0" vertical="center" wrapText="0"/>
    </xf>
    <xf borderId="1" fillId="0" fontId="33" numFmtId="167" xfId="0" applyAlignment="1" applyBorder="1" applyFont="1" applyNumberFormat="1">
      <alignment shrinkToFit="0" vertical="center" wrapText="0"/>
    </xf>
    <xf borderId="1" fillId="0" fontId="31" numFmtId="167" xfId="0" applyAlignment="1" applyBorder="1" applyFont="1" applyNumberFormat="1">
      <alignment shrinkToFit="0" vertical="center" wrapText="0"/>
    </xf>
    <xf borderId="1" fillId="0" fontId="34" numFmtId="167" xfId="0" applyAlignment="1" applyBorder="1" applyFont="1" applyNumberFormat="1">
      <alignment shrinkToFit="0" vertical="center" wrapText="0"/>
    </xf>
    <xf borderId="1" fillId="0" fontId="23" numFmtId="167" xfId="0" applyAlignment="1" applyBorder="1" applyFont="1" applyNumberFormat="1">
      <alignment shrinkToFit="0" vertical="center" wrapText="0"/>
    </xf>
    <xf borderId="1" fillId="0" fontId="35" numFmtId="167" xfId="0" applyAlignment="1" applyBorder="1" applyFont="1" applyNumberFormat="1">
      <alignment shrinkToFit="0" vertical="center" wrapText="0"/>
    </xf>
    <xf borderId="1" fillId="0" fontId="19" numFmtId="168" xfId="0" applyAlignment="1" applyBorder="1" applyFont="1" applyNumberFormat="1">
      <alignment shrinkToFit="0" vertical="center" wrapText="0"/>
    </xf>
    <xf borderId="1" fillId="5" fontId="15" numFmtId="0" xfId="0" applyAlignment="1" applyBorder="1" applyFont="1">
      <alignment horizontal="center" shrinkToFit="0" vertical="center" wrapText="0"/>
    </xf>
    <xf borderId="1" fillId="5" fontId="36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shrinkToFit="0" vertical="center" wrapText="0"/>
    </xf>
    <xf borderId="1" fillId="0" fontId="25" numFmtId="167" xfId="0" applyAlignment="1" applyBorder="1" applyFont="1" applyNumberFormat="1">
      <alignment shrinkToFit="0" vertical="center" wrapText="0"/>
    </xf>
    <xf borderId="1" fillId="0" fontId="37" numFmtId="164" xfId="0" applyAlignment="1" applyBorder="1" applyFont="1" applyNumberFormat="1">
      <alignment shrinkToFit="0" vertical="center" wrapText="0"/>
    </xf>
    <xf borderId="1" fillId="0" fontId="12" numFmtId="168" xfId="0" applyAlignment="1" applyBorder="1" applyFont="1" applyNumberFormat="1">
      <alignment shrinkToFit="0" vertical="center" wrapText="0"/>
    </xf>
    <xf borderId="1" fillId="2" fontId="15" numFmtId="167" xfId="0" applyAlignment="1" applyBorder="1" applyFont="1" applyNumberForma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3" fontId="38" numFmtId="0" xfId="0" applyAlignment="1" applyBorder="1" applyFont="1">
      <alignment horizontal="center" shrinkToFit="0" vertical="center" wrapText="0"/>
    </xf>
    <xf borderId="1" fillId="3" fontId="38" numFmtId="165" xfId="0" applyAlignment="1" applyBorder="1" applyFont="1" applyNumberFormat="1">
      <alignment horizontal="center" shrinkToFit="0" vertical="center" wrapText="0"/>
    </xf>
    <xf borderId="1" fillId="5" fontId="15" numFmtId="165" xfId="0" applyAlignment="1" applyBorder="1" applyFont="1" applyNumberFormat="1">
      <alignment horizontal="center" shrinkToFit="0" vertical="center" wrapText="0"/>
    </xf>
    <xf borderId="1" fillId="0" fontId="18" numFmtId="167" xfId="0" applyAlignment="1" applyBorder="1" applyFont="1" applyNumberForma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1" fillId="0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5" width="15.0"/>
    <col customWidth="1" min="6" max="6" width="20.0"/>
    <col customWidth="1" min="7" max="8" width="15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B4" s="3" t="s">
        <v>2</v>
      </c>
    </row>
    <row r="5" ht="30.75" customHeight="1">
      <c r="B5" s="4" t="s">
        <v>3</v>
      </c>
      <c r="C5" s="5" t="s">
        <v>4</v>
      </c>
    </row>
    <row r="6">
      <c r="C6" s="6">
        <f>MATCH(C5,Scenario!$D$12:$F$12,0)</f>
        <v>2</v>
      </c>
    </row>
    <row r="8">
      <c r="B8" s="7" t="s">
        <v>5</v>
      </c>
      <c r="D8" s="7" t="s">
        <v>6</v>
      </c>
      <c r="F8" s="7" t="s">
        <v>7</v>
      </c>
      <c r="H8" s="7" t="s">
        <v>8</v>
      </c>
    </row>
    <row r="9">
      <c r="B9" s="8">
        <f t="array" ref="B9">INDEX(Scenario!$D$26:$F$26,1,$C$6)/1000</f>
        <v>50</v>
      </c>
      <c r="D9" s="8">
        <f t="array" ref="D9">INDEX(Scenario!$D$15:$F$15,1,$C$6)/1000</f>
        <v>52.5</v>
      </c>
      <c r="F9" s="9">
        <f t="array" ref="F9">INDEX(Scenario!$D$31:$F$31,1,$C$6)/1000</f>
        <v>2.5</v>
      </c>
      <c r="H9" s="10">
        <f>Scenario!C7/1000</f>
        <v>2.6</v>
      </c>
    </row>
    <row r="10">
      <c r="B10" s="11" t="s">
        <v>9</v>
      </c>
      <c r="D10" s="11" t="s">
        <v>9</v>
      </c>
      <c r="F10" s="11" t="s">
        <v>9</v>
      </c>
      <c r="H10" s="11" t="s">
        <v>10</v>
      </c>
    </row>
    <row r="13">
      <c r="B13" s="7" t="s">
        <v>11</v>
      </c>
      <c r="D13" s="7" t="s">
        <v>12</v>
      </c>
      <c r="F13" s="7" t="s">
        <v>13</v>
      </c>
      <c r="H13" s="7" t="s">
        <v>14</v>
      </c>
    </row>
    <row r="14">
      <c r="B14" s="12">
        <f t="array" ref="B14">INDEX(Scenario!$D$33:$F$33,1,$C$6)</f>
        <v>1.05</v>
      </c>
      <c r="D14" s="12">
        <f t="array" ref="D14">INDEX(Scenario!$D$32:$F$32,1,$C$6)</f>
        <v>0.04761904762</v>
      </c>
      <c r="F14" s="13">
        <f t="array" ref="F14">INDEX(Scenario!$D$34:$F$34,1,$C$6)</f>
        <v>0.05</v>
      </c>
      <c r="H14" s="8">
        <f>Cashflow!$C$3/1000</f>
        <v>2.937852495</v>
      </c>
    </row>
    <row r="15">
      <c r="B15" s="11" t="s">
        <v>15</v>
      </c>
      <c r="D15" s="11" t="s">
        <v>16</v>
      </c>
      <c r="F15" s="11" t="s">
        <v>17</v>
      </c>
      <c r="H15" s="11" t="s">
        <v>9</v>
      </c>
    </row>
    <row r="18">
      <c r="B18" s="14" t="s">
        <v>18</v>
      </c>
      <c r="C18" s="15"/>
      <c r="D18" s="15"/>
      <c r="F18" s="14" t="s">
        <v>19</v>
      </c>
      <c r="G18" s="15"/>
      <c r="H18" s="15"/>
    </row>
    <row r="19">
      <c r="B19" s="16" t="s">
        <v>20</v>
      </c>
      <c r="C19" s="16" t="s">
        <v>21</v>
      </c>
      <c r="D19" s="16" t="s">
        <v>22</v>
      </c>
      <c r="F19" s="16" t="s">
        <v>23</v>
      </c>
      <c r="G19" s="16" t="s">
        <v>21</v>
      </c>
      <c r="H19" s="16" t="s">
        <v>22</v>
      </c>
    </row>
    <row r="20">
      <c r="B20" s="17" t="s">
        <v>24</v>
      </c>
      <c r="C20" s="18">
        <f t="array" ref="C20">INDEX(Scenario!$D$19:$F$19,1,$C$6)/1000</f>
        <v>18.85</v>
      </c>
      <c r="D20" s="19">
        <f t="array" ref="D20">INDEX(Scenario!$D$19:$F$19,1,$C$6)/INDEX(Scenario!$D$26:$F$26,1,$C$6)</f>
        <v>0.377</v>
      </c>
      <c r="F20" s="17" t="s">
        <v>25</v>
      </c>
      <c r="G20" s="18">
        <f t="array" ref="G20">INDEX(Scenario!$D$38:$F$38,1,$C$6)/1000</f>
        <v>18.375</v>
      </c>
      <c r="H20" s="19">
        <f t="array" ref="H20">INDEX(Scenario!$D$38:$F$38,1,$C$6)/INDEX(Scenario!$D$15:$F$15,1,$C$6)</f>
        <v>0.35</v>
      </c>
    </row>
    <row r="21" ht="15.75" customHeight="1">
      <c r="B21" s="17" t="s">
        <v>26</v>
      </c>
      <c r="C21" s="18">
        <f t="array" ref="C21">INDEX(Scenario!$D$20:$F$20,1,$C$6)/1000</f>
        <v>10.13557484</v>
      </c>
      <c r="D21" s="19">
        <f t="array" ref="D21">INDEX(Scenario!$D$20:$F$20,1,$C$6)/INDEX(Scenario!$D$26:$F$26,1,$C$6)</f>
        <v>0.2027114967</v>
      </c>
      <c r="F21" s="17" t="s">
        <v>27</v>
      </c>
      <c r="G21" s="18">
        <f t="array" ref="G21">INDEX(Scenario!$D$39:$F$39,1,$C$6)/1000</f>
        <v>13.125</v>
      </c>
      <c r="H21" s="19">
        <f t="array" ref="H21">INDEX(Scenario!$D$39:$F$39,1,$C$6)/INDEX(Scenario!$D$15:$F$15,1,$C$6)</f>
        <v>0.25</v>
      </c>
    </row>
    <row r="22" ht="24.0" customHeight="1">
      <c r="B22" s="17" t="s">
        <v>28</v>
      </c>
      <c r="C22" s="18">
        <f t="array" ref="C22">INDEX(Scenario!$D$21:$F$21,1,$C$6)/1000</f>
        <v>5.405639913</v>
      </c>
      <c r="D22" s="19">
        <f t="array" ref="D22">INDEX(Scenario!$D$21:$F$21,1,$C$6)/INDEX(Scenario!$D$26:$F$26,1,$C$6)</f>
        <v>0.1081127983</v>
      </c>
      <c r="F22" s="17" t="s">
        <v>29</v>
      </c>
      <c r="G22" s="18">
        <f t="array" ref="G22">INDEX(Scenario!$D$40:$F$40,1,$C$6)/1000</f>
        <v>7.875</v>
      </c>
      <c r="H22" s="19">
        <f t="array" ref="H22">INDEX(Scenario!$D$40:$F$40,1,$C$6)/INDEX(Scenario!$D$15:$F$15,1,$C$6)</f>
        <v>0.15</v>
      </c>
    </row>
    <row r="23" ht="15.75" customHeight="1">
      <c r="B23" s="17" t="s">
        <v>30</v>
      </c>
      <c r="C23" s="18">
        <f t="array" ref="C23">INDEX(Scenario!$D$22:$F$22,1,$C$6)/1000</f>
        <v>3.378524946</v>
      </c>
      <c r="D23" s="19">
        <f t="array" ref="D23">INDEX(Scenario!$D$22:$F$22,1,$C$6)/INDEX(Scenario!$D$26:$F$26,1,$C$6)</f>
        <v>0.06757049892</v>
      </c>
      <c r="F23" s="17" t="s">
        <v>31</v>
      </c>
      <c r="G23" s="18">
        <f t="array" ref="G23">INDEX(Scenario!$D$41:$F$41,1,$C$6)/1000</f>
        <v>5.25</v>
      </c>
      <c r="H23" s="19">
        <f t="array" ref="H23">INDEX(Scenario!$D$41:$F$41,1,$C$6)/INDEX(Scenario!$D$15:$F$15,1,$C$6)</f>
        <v>0.1</v>
      </c>
    </row>
    <row r="24" ht="15.75" customHeight="1">
      <c r="B24" s="17" t="s">
        <v>32</v>
      </c>
      <c r="C24" s="18">
        <f t="array" ref="C24">INDEX(Scenario!$D$23:$F$23,1,$C$6)/1000</f>
        <v>6.757049892</v>
      </c>
      <c r="D24" s="19">
        <f t="array" ref="D24">INDEX(Scenario!$D$23:$F$23,1,$C$6)/INDEX(Scenario!$D$26:$F$26,1,$C$6)</f>
        <v>0.1351409978</v>
      </c>
      <c r="F24" s="17" t="s">
        <v>33</v>
      </c>
      <c r="G24" s="18">
        <f t="array" ref="G24">INDEX(Scenario!$D$42:$F$42,1,$C$6)/1000</f>
        <v>4.2</v>
      </c>
      <c r="H24" s="19">
        <f t="array" ref="H24">INDEX(Scenario!$D$42:$F$42,1,$C$6)/INDEX(Scenario!$D$15:$F$15,1,$C$6)</f>
        <v>0.08</v>
      </c>
    </row>
    <row r="25" ht="15.75" customHeight="1">
      <c r="B25" s="17" t="s">
        <v>34</v>
      </c>
      <c r="C25" s="18">
        <f t="array" ref="C25">INDEX(Scenario!$D$24:$F$24,1,$C$6)/1000</f>
        <v>3.446095445</v>
      </c>
      <c r="D25" s="19">
        <f t="array" ref="D25">INDEX(Scenario!$D$24:$F$24,1,$C$6)/INDEX(Scenario!$D$26:$F$26,1,$C$6)</f>
        <v>0.06892190889</v>
      </c>
      <c r="F25" s="17" t="s">
        <v>35</v>
      </c>
      <c r="G25" s="18">
        <f t="array" ref="G25">INDEX(Scenario!$D$43:$F$43,1,$C$6)/1000</f>
        <v>2.1</v>
      </c>
      <c r="H25" s="19">
        <f t="array" ref="H25">INDEX(Scenario!$D$43:$F$43,1,$C$6)/INDEX(Scenario!$D$15:$F$15,1,$C$6)</f>
        <v>0.04</v>
      </c>
    </row>
    <row r="26" ht="15.75" customHeight="1">
      <c r="B26" s="17" t="s">
        <v>36</v>
      </c>
      <c r="C26" s="18">
        <f t="array" ref="C26">INDEX(Scenario!$D$25:$F$25,1,$C$6)/1000</f>
        <v>2.027114967</v>
      </c>
      <c r="D26" s="19">
        <f t="array" ref="D26">INDEX(Scenario!$D$25:$F$25,1,$C$6)/INDEX(Scenario!$D$26:$F$26,1,$C$6)</f>
        <v>0.04054229935</v>
      </c>
      <c r="F26" s="17" t="s">
        <v>37</v>
      </c>
      <c r="G26" s="18">
        <f t="array" ref="G26">INDEX(Scenario!$D$44:$F$44,1,$C$6)/1000</f>
        <v>1.575</v>
      </c>
      <c r="H26" s="19">
        <f t="array" ref="H26">INDEX(Scenario!$D$44:$F$44,1,$C$6)/INDEX(Scenario!$D$15:$F$15,1,$C$6)</f>
        <v>0.03</v>
      </c>
    </row>
    <row r="27" ht="15.75" customHeight="1">
      <c r="B27" s="20" t="s">
        <v>38</v>
      </c>
      <c r="C27" s="21">
        <f t="shared" ref="C27:D27" si="1">SUM(C20:C26)</f>
        <v>50</v>
      </c>
      <c r="D27" s="22">
        <f t="shared" si="1"/>
        <v>1</v>
      </c>
      <c r="F27" s="20" t="s">
        <v>6</v>
      </c>
      <c r="G27" s="21">
        <f t="shared" ref="G27:H27" si="2">SUM(G20:G26)</f>
        <v>52.5</v>
      </c>
      <c r="H27" s="22">
        <f t="shared" si="2"/>
        <v>1</v>
      </c>
    </row>
    <row r="28" ht="15.75" customHeight="1">
      <c r="B28" s="23" t="s">
        <v>39</v>
      </c>
      <c r="C28" s="24">
        <f>Scenario!C7/1000</f>
        <v>2.6</v>
      </c>
    </row>
    <row r="29" ht="15.75" customHeight="1"/>
    <row r="30" ht="15.75" customHeight="1">
      <c r="B30" s="14" t="s">
        <v>40</v>
      </c>
      <c r="C30" s="15"/>
      <c r="D30" s="15"/>
      <c r="E30" s="15"/>
    </row>
    <row r="31" ht="15.75" customHeight="1">
      <c r="B31" s="16" t="s">
        <v>41</v>
      </c>
      <c r="C31" s="16" t="s">
        <v>42</v>
      </c>
      <c r="D31" s="16" t="s">
        <v>4</v>
      </c>
      <c r="E31" s="16" t="s">
        <v>43</v>
      </c>
    </row>
    <row r="32" ht="15.75" customHeight="1">
      <c r="B32" s="17" t="s">
        <v>44</v>
      </c>
      <c r="C32" s="18">
        <f>Scenario!D26/1000</f>
        <v>35</v>
      </c>
      <c r="D32" s="18">
        <f>Scenario!E26/1000</f>
        <v>50</v>
      </c>
      <c r="E32" s="18">
        <f>Scenario!F26/1000</f>
        <v>70</v>
      </c>
    </row>
    <row r="33" ht="15.75" customHeight="1">
      <c r="B33" s="17" t="s">
        <v>45</v>
      </c>
      <c r="C33" s="18">
        <f>Scenario!D15/1000</f>
        <v>35</v>
      </c>
      <c r="D33" s="18">
        <f>Scenario!E15/1000</f>
        <v>52.5</v>
      </c>
      <c r="E33" s="18">
        <f>Scenario!F15/1000</f>
        <v>77</v>
      </c>
    </row>
    <row r="34" ht="15.75" customHeight="1">
      <c r="B34" s="17" t="s">
        <v>46</v>
      </c>
      <c r="C34" s="18">
        <f>Scenario!D31/1000</f>
        <v>0</v>
      </c>
      <c r="D34" s="18">
        <f>Scenario!E31/1000</f>
        <v>2.5</v>
      </c>
      <c r="E34" s="18">
        <f>Scenario!F31/1000</f>
        <v>7</v>
      </c>
    </row>
    <row r="35" ht="15.75" customHeight="1">
      <c r="B35" s="17" t="s">
        <v>47</v>
      </c>
      <c r="C35" s="25">
        <f>Scenario!D33</f>
        <v>1</v>
      </c>
      <c r="D35" s="25">
        <f>Scenario!E33</f>
        <v>1.05</v>
      </c>
      <c r="E35" s="25">
        <f>Scenario!F33</f>
        <v>1.1</v>
      </c>
    </row>
    <row r="36" ht="15.75" customHeight="1">
      <c r="B36" s="17" t="s">
        <v>13</v>
      </c>
      <c r="C36" s="25">
        <f>Scenario!D34</f>
        <v>0</v>
      </c>
      <c r="D36" s="25">
        <f>Scenario!E34</f>
        <v>0.05</v>
      </c>
      <c r="E36" s="25">
        <f>Scenario!F34</f>
        <v>0.1</v>
      </c>
    </row>
    <row r="37" ht="15.75" customHeight="1"/>
    <row r="38" ht="15.75" customHeight="1">
      <c r="B38" s="2" t="s">
        <v>48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5">
      <formula1>"Conservative,Base Case,Aggressive"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6.0"/>
    <col customWidth="1" min="3" max="3" width="9.0"/>
    <col customWidth="1" min="4" max="4" width="11.0"/>
    <col customWidth="1" min="5" max="10" width="13.0"/>
    <col customWidth="1" min="11" max="26" width="8.71"/>
  </cols>
  <sheetData>
    <row r="1">
      <c r="A1" s="1" t="s">
        <v>49</v>
      </c>
    </row>
    <row r="2">
      <c r="A2" s="2" t="s">
        <v>50</v>
      </c>
    </row>
    <row r="4">
      <c r="B4" s="26" t="s">
        <v>51</v>
      </c>
      <c r="D4" s="27">
        <f>Scenario!C5</f>
        <v>26000</v>
      </c>
    </row>
    <row r="6">
      <c r="B6" s="14" t="s">
        <v>52</v>
      </c>
      <c r="C6" s="15"/>
      <c r="D6" s="15"/>
      <c r="E6" s="15"/>
      <c r="F6" s="15"/>
      <c r="G6" s="15"/>
      <c r="H6" s="15"/>
      <c r="I6" s="15"/>
      <c r="J6" s="15"/>
    </row>
    <row r="7">
      <c r="B7" s="7" t="s">
        <v>20</v>
      </c>
      <c r="C7" s="7" t="s">
        <v>53</v>
      </c>
      <c r="D7" s="7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7" t="s">
        <v>59</v>
      </c>
      <c r="J7" s="7" t="s">
        <v>60</v>
      </c>
    </row>
    <row r="8">
      <c r="B8" s="17" t="s">
        <v>61</v>
      </c>
      <c r="C8" s="28" t="s">
        <v>62</v>
      </c>
      <c r="D8" s="29">
        <v>1.0</v>
      </c>
      <c r="E8" s="30">
        <v>100000.0</v>
      </c>
      <c r="F8" s="31">
        <f t="shared" ref="F8:F10" si="1">D8*E8</f>
        <v>100000</v>
      </c>
      <c r="G8" s="30">
        <v>0.0</v>
      </c>
      <c r="H8" s="30">
        <v>100000.0</v>
      </c>
      <c r="I8" s="32">
        <f t="shared" ref="I8:I10" si="2">H8*$D$4/1000000</f>
        <v>2600</v>
      </c>
      <c r="J8" s="32">
        <f t="shared" ref="J8:J10" si="3">F8*$D$4/1000000</f>
        <v>2600</v>
      </c>
      <c r="K8" s="33" t="s">
        <v>63</v>
      </c>
    </row>
    <row r="9" ht="18.0" customHeight="1">
      <c r="B9" s="17" t="s">
        <v>64</v>
      </c>
      <c r="C9" s="28" t="s">
        <v>62</v>
      </c>
      <c r="D9" s="29">
        <v>1.0</v>
      </c>
      <c r="E9" s="30">
        <v>1000000.0</v>
      </c>
      <c r="F9" s="31">
        <f t="shared" si="1"/>
        <v>1000000</v>
      </c>
      <c r="G9" s="30">
        <v>450000.0</v>
      </c>
      <c r="H9" s="30">
        <v>550000.0</v>
      </c>
      <c r="I9" s="32">
        <f t="shared" si="2"/>
        <v>14300</v>
      </c>
      <c r="J9" s="32">
        <f t="shared" si="3"/>
        <v>26000</v>
      </c>
      <c r="K9" s="33" t="s">
        <v>65</v>
      </c>
    </row>
    <row r="10">
      <c r="B10" s="17" t="s">
        <v>66</v>
      </c>
      <c r="C10" s="28" t="s">
        <v>62</v>
      </c>
      <c r="D10" s="29">
        <v>1.0</v>
      </c>
      <c r="E10" s="30">
        <v>75000.0</v>
      </c>
      <c r="F10" s="31">
        <f t="shared" si="1"/>
        <v>75000</v>
      </c>
      <c r="G10" s="30">
        <v>0.0</v>
      </c>
      <c r="H10" s="30">
        <v>75000.0</v>
      </c>
      <c r="I10" s="32">
        <f t="shared" si="2"/>
        <v>1950</v>
      </c>
      <c r="J10" s="32">
        <f t="shared" si="3"/>
        <v>1950</v>
      </c>
    </row>
    <row r="11">
      <c r="B11" s="20" t="s">
        <v>67</v>
      </c>
      <c r="C11" s="34"/>
      <c r="D11" s="34"/>
      <c r="E11" s="34"/>
      <c r="F11" s="35">
        <f t="shared" ref="F11:J11" si="4">SUM(F8:F10)</f>
        <v>1175000</v>
      </c>
      <c r="G11" s="35">
        <f t="shared" si="4"/>
        <v>450000</v>
      </c>
      <c r="H11" s="35">
        <f t="shared" si="4"/>
        <v>725000</v>
      </c>
      <c r="I11" s="36">
        <f t="shared" si="4"/>
        <v>18850</v>
      </c>
      <c r="J11" s="36">
        <f t="shared" si="4"/>
        <v>30550</v>
      </c>
    </row>
    <row r="13">
      <c r="B13" s="14" t="s">
        <v>68</v>
      </c>
      <c r="C13" s="15"/>
      <c r="D13" s="15"/>
      <c r="E13" s="15"/>
      <c r="F13" s="15"/>
      <c r="G13" s="15"/>
      <c r="H13" s="15"/>
      <c r="I13" s="15"/>
      <c r="J13" s="15"/>
    </row>
    <row r="14">
      <c r="B14" s="7" t="s">
        <v>20</v>
      </c>
      <c r="C14" s="7" t="s">
        <v>53</v>
      </c>
      <c r="D14" s="7" t="s">
        <v>54</v>
      </c>
      <c r="E14" s="7" t="s">
        <v>69</v>
      </c>
      <c r="F14" s="7" t="s">
        <v>70</v>
      </c>
      <c r="G14" s="7" t="s">
        <v>71</v>
      </c>
      <c r="H14" s="7" t="s">
        <v>72</v>
      </c>
      <c r="I14" s="7" t="s">
        <v>73</v>
      </c>
    </row>
    <row r="15">
      <c r="B15" s="37" t="s">
        <v>74</v>
      </c>
      <c r="C15" s="28" t="s">
        <v>75</v>
      </c>
      <c r="D15" s="29">
        <v>100.0</v>
      </c>
      <c r="E15" s="38">
        <v>5000000.0</v>
      </c>
      <c r="F15" s="32">
        <f t="shared" ref="F15:F25" si="5">D15*E15/1000000</f>
        <v>500</v>
      </c>
      <c r="G15" s="39" t="s">
        <v>76</v>
      </c>
      <c r="H15" s="32">
        <f t="shared" ref="H15:H25" si="6">IF(G15="GH",F15,0)</f>
        <v>0</v>
      </c>
      <c r="I15" s="32">
        <f t="shared" ref="I15:I25" si="7">F15-H15</f>
        <v>500</v>
      </c>
    </row>
    <row r="16">
      <c r="B16" s="37" t="s">
        <v>77</v>
      </c>
      <c r="C16" s="28" t="s">
        <v>78</v>
      </c>
      <c r="D16" s="29">
        <v>1.0</v>
      </c>
      <c r="E16" s="38">
        <v>5.0E8</v>
      </c>
      <c r="F16" s="32">
        <f t="shared" si="5"/>
        <v>500</v>
      </c>
      <c r="G16" s="39" t="s">
        <v>79</v>
      </c>
      <c r="H16" s="32">
        <f t="shared" si="6"/>
        <v>500</v>
      </c>
      <c r="I16" s="32">
        <f t="shared" si="7"/>
        <v>0</v>
      </c>
    </row>
    <row r="17">
      <c r="B17" s="37" t="s">
        <v>80</v>
      </c>
      <c r="C17" s="28" t="s">
        <v>81</v>
      </c>
      <c r="D17" s="29">
        <v>130.0</v>
      </c>
      <c r="E17" s="38">
        <v>2.0E7</v>
      </c>
      <c r="F17" s="32">
        <f t="shared" si="5"/>
        <v>2600</v>
      </c>
      <c r="G17" s="39" t="s">
        <v>76</v>
      </c>
      <c r="H17" s="32">
        <f t="shared" si="6"/>
        <v>0</v>
      </c>
      <c r="I17" s="32">
        <f t="shared" si="7"/>
        <v>2600</v>
      </c>
    </row>
    <row r="18">
      <c r="B18" s="37" t="s">
        <v>82</v>
      </c>
      <c r="C18" s="28" t="s">
        <v>83</v>
      </c>
      <c r="D18" s="29">
        <v>6.0</v>
      </c>
      <c r="E18" s="38">
        <v>0.0</v>
      </c>
      <c r="F18" s="32">
        <f t="shared" si="5"/>
        <v>0</v>
      </c>
      <c r="G18" s="39" t="s">
        <v>76</v>
      </c>
      <c r="H18" s="32">
        <f t="shared" si="6"/>
        <v>0</v>
      </c>
      <c r="I18" s="32">
        <f t="shared" si="7"/>
        <v>0</v>
      </c>
    </row>
    <row r="19">
      <c r="B19" s="37" t="s">
        <v>84</v>
      </c>
      <c r="C19" s="28" t="s">
        <v>78</v>
      </c>
      <c r="D19" s="29">
        <v>1.0</v>
      </c>
      <c r="E19" s="38">
        <v>1.0E9</v>
      </c>
      <c r="F19" s="32">
        <f t="shared" si="5"/>
        <v>1000</v>
      </c>
      <c r="G19" s="39" t="s">
        <v>79</v>
      </c>
      <c r="H19" s="32">
        <f t="shared" si="6"/>
        <v>1000</v>
      </c>
      <c r="I19" s="32">
        <f t="shared" si="7"/>
        <v>0</v>
      </c>
    </row>
    <row r="20">
      <c r="B20" s="37" t="s">
        <v>85</v>
      </c>
      <c r="C20" s="28" t="s">
        <v>78</v>
      </c>
      <c r="D20" s="29">
        <v>1.0</v>
      </c>
      <c r="E20" s="38">
        <v>7.0E7</v>
      </c>
      <c r="F20" s="32">
        <f t="shared" si="5"/>
        <v>70</v>
      </c>
      <c r="G20" s="40" t="s">
        <v>79</v>
      </c>
      <c r="H20" s="32">
        <f t="shared" si="6"/>
        <v>70</v>
      </c>
      <c r="I20" s="32">
        <f t="shared" si="7"/>
        <v>0</v>
      </c>
    </row>
    <row r="21" ht="15.75" customHeight="1">
      <c r="B21" s="37" t="s">
        <v>86</v>
      </c>
      <c r="C21" s="28" t="s">
        <v>87</v>
      </c>
      <c r="D21" s="29">
        <v>1.0</v>
      </c>
      <c r="E21" s="38">
        <v>1.0E10</v>
      </c>
      <c r="F21" s="32">
        <f t="shared" si="5"/>
        <v>10000</v>
      </c>
      <c r="G21" s="40" t="s">
        <v>79</v>
      </c>
      <c r="H21" s="32">
        <f t="shared" si="6"/>
        <v>10000</v>
      </c>
      <c r="I21" s="32">
        <f t="shared" si="7"/>
        <v>0</v>
      </c>
    </row>
    <row r="22" ht="15.75" customHeight="1">
      <c r="B22" s="37" t="s">
        <v>88</v>
      </c>
      <c r="C22" s="28" t="s">
        <v>78</v>
      </c>
      <c r="D22" s="29">
        <v>1.0</v>
      </c>
      <c r="E22" s="38">
        <v>1.0E9</v>
      </c>
      <c r="F22" s="32">
        <f t="shared" si="5"/>
        <v>1000</v>
      </c>
      <c r="G22" s="40" t="s">
        <v>79</v>
      </c>
      <c r="H22" s="32">
        <f t="shared" si="6"/>
        <v>1000</v>
      </c>
      <c r="I22" s="32">
        <f t="shared" si="7"/>
        <v>0</v>
      </c>
    </row>
    <row r="23" ht="15.75" customHeight="1">
      <c r="B23" s="37" t="s">
        <v>89</v>
      </c>
      <c r="C23" s="28" t="s">
        <v>78</v>
      </c>
      <c r="D23" s="29">
        <v>1.0</v>
      </c>
      <c r="E23" s="38">
        <v>3.5E8</v>
      </c>
      <c r="F23" s="32">
        <f t="shared" si="5"/>
        <v>350</v>
      </c>
      <c r="G23" s="40" t="s">
        <v>79</v>
      </c>
      <c r="H23" s="32">
        <f t="shared" si="6"/>
        <v>350</v>
      </c>
      <c r="I23" s="32">
        <f t="shared" si="7"/>
        <v>0</v>
      </c>
    </row>
    <row r="24" ht="15.75" customHeight="1">
      <c r="B24" s="37" t="s">
        <v>90</v>
      </c>
      <c r="C24" s="28" t="s">
        <v>78</v>
      </c>
      <c r="D24" s="29">
        <v>1.0</v>
      </c>
      <c r="E24" s="38">
        <v>1.0E9</v>
      </c>
      <c r="F24" s="32">
        <f t="shared" si="5"/>
        <v>1000</v>
      </c>
      <c r="G24" s="40" t="s">
        <v>79</v>
      </c>
      <c r="H24" s="32">
        <f t="shared" si="6"/>
        <v>1000</v>
      </c>
      <c r="I24" s="32">
        <f t="shared" si="7"/>
        <v>0</v>
      </c>
    </row>
    <row r="25" ht="15.75" customHeight="1">
      <c r="B25" s="37" t="s">
        <v>91</v>
      </c>
      <c r="C25" s="28" t="s">
        <v>78</v>
      </c>
      <c r="D25" s="29">
        <v>1.0</v>
      </c>
      <c r="E25" s="38">
        <v>1.0E9</v>
      </c>
      <c r="F25" s="32">
        <f t="shared" si="5"/>
        <v>1000</v>
      </c>
      <c r="G25" s="40" t="s">
        <v>79</v>
      </c>
      <c r="H25" s="32">
        <f t="shared" si="6"/>
        <v>1000</v>
      </c>
      <c r="I25" s="32">
        <f t="shared" si="7"/>
        <v>0</v>
      </c>
    </row>
    <row r="26" ht="15.75" customHeight="1">
      <c r="B26" s="20" t="s">
        <v>92</v>
      </c>
      <c r="C26" s="34"/>
      <c r="D26" s="34"/>
      <c r="E26" s="34"/>
      <c r="F26" s="36">
        <f>SUM(F15:F25)</f>
        <v>18020</v>
      </c>
      <c r="G26" s="34"/>
      <c r="H26" s="36">
        <f t="shared" ref="H26:I26" si="8">SUM(H15:H25)</f>
        <v>14920</v>
      </c>
      <c r="I26" s="36">
        <f t="shared" si="8"/>
        <v>3100</v>
      </c>
    </row>
    <row r="27" ht="15.75" customHeight="1"/>
    <row r="28" ht="15.75" customHeight="1">
      <c r="B28" s="14" t="s">
        <v>93</v>
      </c>
      <c r="C28" s="15"/>
      <c r="D28" s="15"/>
      <c r="E28" s="15"/>
      <c r="F28" s="15"/>
      <c r="G28" s="15"/>
      <c r="H28" s="15"/>
    </row>
    <row r="29" ht="15.75" customHeight="1">
      <c r="B29" s="26" t="s">
        <v>94</v>
      </c>
      <c r="H29" s="41">
        <f>J11+F26</f>
        <v>48570</v>
      </c>
    </row>
    <row r="30" ht="15.75" customHeight="1">
      <c r="B30" s="26" t="s">
        <v>95</v>
      </c>
      <c r="H30" s="42">
        <f>G11*$D$4/1000000+I26</f>
        <v>14800</v>
      </c>
    </row>
    <row r="31" ht="15.75" customHeight="1">
      <c r="B31" s="20" t="s">
        <v>96</v>
      </c>
      <c r="H31" s="43">
        <f>I11+H26</f>
        <v>33770</v>
      </c>
    </row>
    <row r="32" ht="15.75" customHeight="1"/>
    <row r="33" ht="15.75" customHeight="1">
      <c r="B33" s="14" t="s">
        <v>97</v>
      </c>
      <c r="C33" s="15"/>
      <c r="D33" s="15"/>
    </row>
    <row r="34" ht="15.75" customHeight="1">
      <c r="B34" s="16" t="s">
        <v>98</v>
      </c>
      <c r="C34" s="16" t="s">
        <v>72</v>
      </c>
      <c r="D34" s="16" t="s">
        <v>99</v>
      </c>
    </row>
    <row r="35" ht="15.75" customHeight="1">
      <c r="B35" s="17" t="s">
        <v>24</v>
      </c>
      <c r="C35" s="32">
        <f>I11</f>
        <v>18850</v>
      </c>
      <c r="D35" s="19">
        <f t="shared" ref="D35:D41" si="9">C35/$C$42</f>
        <v>0.5933270381</v>
      </c>
    </row>
    <row r="36" ht="15.75" customHeight="1">
      <c r="B36" s="17" t="s">
        <v>26</v>
      </c>
      <c r="C36" s="32">
        <f>H21</f>
        <v>10000</v>
      </c>
      <c r="D36" s="19">
        <f t="shared" si="9"/>
        <v>0.3147623544</v>
      </c>
    </row>
    <row r="37" ht="15.75" customHeight="1">
      <c r="B37" s="17" t="s">
        <v>28</v>
      </c>
      <c r="C37" s="32">
        <f>H20</f>
        <v>70</v>
      </c>
      <c r="D37" s="19">
        <f t="shared" si="9"/>
        <v>0.002203336481</v>
      </c>
    </row>
    <row r="38" ht="15.75" customHeight="1">
      <c r="B38" s="17" t="s">
        <v>30</v>
      </c>
      <c r="C38" s="32">
        <f>0</f>
        <v>0</v>
      </c>
      <c r="D38" s="19">
        <f t="shared" si="9"/>
        <v>0</v>
      </c>
    </row>
    <row r="39" ht="15.75" customHeight="1">
      <c r="B39" s="17" t="s">
        <v>32</v>
      </c>
      <c r="C39" s="32">
        <f>H16+H22+H23</f>
        <v>1850</v>
      </c>
      <c r="D39" s="19">
        <f t="shared" si="9"/>
        <v>0.05823103557</v>
      </c>
    </row>
    <row r="40" ht="15.75" customHeight="1">
      <c r="B40" s="17" t="s">
        <v>34</v>
      </c>
      <c r="C40" s="32">
        <f>0</f>
        <v>0</v>
      </c>
      <c r="D40" s="19">
        <f t="shared" si="9"/>
        <v>0</v>
      </c>
    </row>
    <row r="41" ht="15.75" customHeight="1">
      <c r="B41" s="17" t="s">
        <v>36</v>
      </c>
      <c r="C41" s="32">
        <f>H19</f>
        <v>1000</v>
      </c>
      <c r="D41" s="19">
        <f t="shared" si="9"/>
        <v>0.03147623544</v>
      </c>
    </row>
    <row r="42" ht="15.75" customHeight="1">
      <c r="B42" s="20" t="s">
        <v>100</v>
      </c>
      <c r="C42" s="36">
        <f t="shared" ref="C42:D42" si="10">SUM(C35:C41)</f>
        <v>31770</v>
      </c>
      <c r="D42" s="22">
        <f t="shared" si="10"/>
        <v>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4.0"/>
    <col customWidth="1" min="3" max="3" width="10.0"/>
    <col customWidth="1" min="4" max="7" width="12.0"/>
    <col customWidth="1" min="8" max="8" width="8.0"/>
    <col customWidth="1" min="9" max="9" width="22.0"/>
    <col customWidth="1" min="10" max="26" width="8.71"/>
  </cols>
  <sheetData>
    <row r="1">
      <c r="A1" s="1" t="s">
        <v>101</v>
      </c>
    </row>
    <row r="2">
      <c r="A2" s="2" t="s">
        <v>102</v>
      </c>
    </row>
    <row r="3">
      <c r="B3" s="44" t="s">
        <v>103</v>
      </c>
      <c r="C3" s="45" t="str">
        <f>Dashboard!C5</f>
        <v>Base Case</v>
      </c>
    </row>
    <row r="5">
      <c r="B5" s="7" t="s">
        <v>104</v>
      </c>
      <c r="C5" s="7" t="s">
        <v>105</v>
      </c>
      <c r="D5" s="7" t="s">
        <v>42</v>
      </c>
      <c r="E5" s="7" t="s">
        <v>4</v>
      </c>
      <c r="F5" s="7" t="s">
        <v>43</v>
      </c>
      <c r="G5" s="7" t="s">
        <v>106</v>
      </c>
      <c r="H5" s="7" t="s">
        <v>22</v>
      </c>
      <c r="I5" s="7" t="s">
        <v>107</v>
      </c>
    </row>
    <row r="6">
      <c r="B6" s="26" t="s">
        <v>24</v>
      </c>
      <c r="C6" s="46" t="str">
        <f>Scenario!C19</f>
        <v>cố định</v>
      </c>
      <c r="D6" s="47">
        <f>Scenario!D19</f>
        <v>18850</v>
      </c>
      <c r="E6" s="47">
        <f>Scenario!E19</f>
        <v>18850</v>
      </c>
      <c r="F6" s="47">
        <f>Scenario!F19</f>
        <v>18850</v>
      </c>
      <c r="G6" s="41">
        <f>CHOOSE(Dashboard!$C$6,D6,E6,F6)</f>
        <v>18850</v>
      </c>
      <c r="H6" s="19">
        <f t="shared" ref="H6:H12" si="1">G6/$G$13</f>
        <v>0.377</v>
      </c>
      <c r="I6" s="48" t="s">
        <v>108</v>
      </c>
    </row>
    <row r="7">
      <c r="B7" s="17" t="s">
        <v>26</v>
      </c>
      <c r="C7" s="25">
        <f>Scenario!C20</f>
        <v>0.15</v>
      </c>
      <c r="D7" s="47">
        <f>Scenario!D20</f>
        <v>5254.880694</v>
      </c>
      <c r="E7" s="47">
        <f>Scenario!E20</f>
        <v>10135.57484</v>
      </c>
      <c r="F7" s="47">
        <f>Scenario!F20</f>
        <v>16643.16703</v>
      </c>
      <c r="G7" s="41">
        <f>CHOOSE(Dashboard!$C$6,D7,E7,F7)</f>
        <v>10135.57484</v>
      </c>
      <c r="H7" s="19">
        <f t="shared" si="1"/>
        <v>0.2027114967</v>
      </c>
      <c r="I7" s="48" t="s">
        <v>109</v>
      </c>
    </row>
    <row r="8">
      <c r="B8" s="17" t="s">
        <v>28</v>
      </c>
      <c r="C8" s="25">
        <f>Scenario!C21</f>
        <v>0.08</v>
      </c>
      <c r="D8" s="47">
        <f>Scenario!D21</f>
        <v>2802.603037</v>
      </c>
      <c r="E8" s="47">
        <f>Scenario!E21</f>
        <v>5405.639913</v>
      </c>
      <c r="F8" s="47">
        <f>Scenario!F21</f>
        <v>8876.355748</v>
      </c>
      <c r="G8" s="41">
        <f>CHOOSE(Dashboard!$C$6,D8,E8,F8)</f>
        <v>5405.639913</v>
      </c>
      <c r="H8" s="19">
        <f t="shared" si="1"/>
        <v>0.1081127983</v>
      </c>
      <c r="I8" s="48" t="s">
        <v>85</v>
      </c>
    </row>
    <row r="9">
      <c r="B9" s="17" t="s">
        <v>30</v>
      </c>
      <c r="C9" s="25">
        <f>Scenario!C22</f>
        <v>0.05</v>
      </c>
      <c r="D9" s="47">
        <f>Scenario!D22</f>
        <v>1751.626898</v>
      </c>
      <c r="E9" s="47">
        <f>Scenario!E22</f>
        <v>3378.524946</v>
      </c>
      <c r="F9" s="47">
        <f>Scenario!F22</f>
        <v>5547.722343</v>
      </c>
      <c r="G9" s="41">
        <f>CHOOSE(Dashboard!$C$6,D9,E9,F9)</f>
        <v>3378.524946</v>
      </c>
      <c r="H9" s="19">
        <f t="shared" si="1"/>
        <v>0.06757049892</v>
      </c>
      <c r="I9" s="48" t="s">
        <v>110</v>
      </c>
    </row>
    <row r="10">
      <c r="B10" s="17" t="s">
        <v>32</v>
      </c>
      <c r="C10" s="25">
        <f>Scenario!C23</f>
        <v>0.1</v>
      </c>
      <c r="D10" s="47">
        <f>Scenario!D23</f>
        <v>3503.253796</v>
      </c>
      <c r="E10" s="47">
        <f>Scenario!E23</f>
        <v>6757.049892</v>
      </c>
      <c r="F10" s="47">
        <f>Scenario!F23</f>
        <v>11095.44469</v>
      </c>
      <c r="G10" s="41">
        <f>CHOOSE(Dashboard!$C$6,D10,E10,F10)</f>
        <v>6757.049892</v>
      </c>
      <c r="H10" s="19">
        <f t="shared" si="1"/>
        <v>0.1351409978</v>
      </c>
      <c r="I10" s="48" t="s">
        <v>111</v>
      </c>
    </row>
    <row r="11">
      <c r="B11" s="17" t="s">
        <v>34</v>
      </c>
      <c r="C11" s="25">
        <f>Scenario!C24</f>
        <v>0.051</v>
      </c>
      <c r="D11" s="47">
        <f>Scenario!D24</f>
        <v>1786.659436</v>
      </c>
      <c r="E11" s="47">
        <f>Scenario!E24</f>
        <v>3446.095445</v>
      </c>
      <c r="F11" s="47">
        <f>Scenario!F24</f>
        <v>5658.67679</v>
      </c>
      <c r="G11" s="41">
        <f>CHOOSE(Dashboard!$C$6,D11,E11,F11)</f>
        <v>3446.095445</v>
      </c>
      <c r="H11" s="19">
        <f t="shared" si="1"/>
        <v>0.06892190889</v>
      </c>
      <c r="I11" s="48" t="s">
        <v>112</v>
      </c>
    </row>
    <row r="12">
      <c r="B12" s="17" t="s">
        <v>36</v>
      </c>
      <c r="C12" s="25">
        <f>Scenario!C25</f>
        <v>0.03</v>
      </c>
      <c r="D12" s="47">
        <f>Scenario!D25</f>
        <v>1050.976139</v>
      </c>
      <c r="E12" s="47">
        <f>Scenario!E25</f>
        <v>2027.114967</v>
      </c>
      <c r="F12" s="47">
        <f>Scenario!F25</f>
        <v>3328.633406</v>
      </c>
      <c r="G12" s="41">
        <f>CHOOSE(Dashboard!$C$6,D12,E12,F12)</f>
        <v>2027.114967</v>
      </c>
      <c r="H12" s="19">
        <f t="shared" si="1"/>
        <v>0.04054229935</v>
      </c>
      <c r="I12" s="48" t="s">
        <v>113</v>
      </c>
    </row>
    <row r="13">
      <c r="B13" s="20" t="s">
        <v>38</v>
      </c>
      <c r="C13" s="34"/>
      <c r="D13" s="36">
        <f t="shared" ref="D13:H13" si="2">SUM(D6:D12)</f>
        <v>35000</v>
      </c>
      <c r="E13" s="36">
        <f t="shared" si="2"/>
        <v>50000</v>
      </c>
      <c r="F13" s="36">
        <f t="shared" si="2"/>
        <v>70000</v>
      </c>
      <c r="G13" s="36">
        <f t="shared" si="2"/>
        <v>50000</v>
      </c>
      <c r="H13" s="22">
        <f t="shared" si="2"/>
        <v>1</v>
      </c>
      <c r="I13" s="34"/>
    </row>
    <row r="15">
      <c r="B15" s="14" t="s">
        <v>114</v>
      </c>
      <c r="C15" s="15"/>
      <c r="D15" s="15"/>
      <c r="E15" s="15"/>
      <c r="F15" s="15"/>
      <c r="G15" s="15"/>
      <c r="H15" s="15"/>
      <c r="I15" s="15"/>
    </row>
    <row r="16">
      <c r="B16" s="17" t="s">
        <v>115</v>
      </c>
      <c r="E16" s="49">
        <f>Scenario!C6</f>
        <v>100000</v>
      </c>
      <c r="G16" s="50">
        <f>Scenario!C7</f>
        <v>2600</v>
      </c>
    </row>
    <row r="17">
      <c r="B17" s="17" t="s">
        <v>116</v>
      </c>
      <c r="E17" s="49">
        <f>'Reference Cost'!H9</f>
        <v>550000</v>
      </c>
      <c r="G17" s="47">
        <f>'Reference Cost'!I9</f>
        <v>14300</v>
      </c>
    </row>
    <row r="18">
      <c r="B18" s="17" t="s">
        <v>66</v>
      </c>
      <c r="E18" s="49">
        <f>'Reference Cost'!H10</f>
        <v>75000</v>
      </c>
      <c r="G18" s="47">
        <f>'Reference Cost'!I10</f>
        <v>1950</v>
      </c>
    </row>
    <row r="19">
      <c r="B19" s="26" t="s">
        <v>117</v>
      </c>
      <c r="G19" s="41">
        <f>Scenario!C9</f>
        <v>18850</v>
      </c>
    </row>
    <row r="21" ht="15.75" customHeight="1">
      <c r="B21" s="51" t="s">
        <v>118</v>
      </c>
      <c r="G21" s="52">
        <f>Manpower!E2+Vendor!G2</f>
        <v>33462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3.0"/>
    <col customWidth="1" min="4" max="4" width="15.0"/>
    <col customWidth="1" min="5" max="5" width="22.0"/>
    <col customWidth="1" min="6" max="26" width="8.71"/>
  </cols>
  <sheetData>
    <row r="1">
      <c r="A1" s="1" t="s">
        <v>119</v>
      </c>
    </row>
    <row r="2">
      <c r="A2" s="2" t="s">
        <v>120</v>
      </c>
    </row>
    <row r="4">
      <c r="B4" s="7" t="s">
        <v>121</v>
      </c>
      <c r="C4" s="7" t="s">
        <v>122</v>
      </c>
      <c r="D4" s="7" t="s">
        <v>123</v>
      </c>
      <c r="E4" s="7" t="s">
        <v>107</v>
      </c>
    </row>
    <row r="5">
      <c r="B5" s="14" t="s">
        <v>24</v>
      </c>
      <c r="C5" s="15"/>
      <c r="D5" s="53">
        <f>'Event Budget'!G6</f>
        <v>18850</v>
      </c>
      <c r="E5" s="54" t="s">
        <v>124</v>
      </c>
    </row>
    <row r="6">
      <c r="B6" s="17" t="s">
        <v>125</v>
      </c>
      <c r="C6" s="55">
        <v>0.138</v>
      </c>
      <c r="D6" s="32">
        <f t="shared" ref="D6:D8" si="1">$D$5*C6</f>
        <v>2601.3</v>
      </c>
      <c r="E6" s="56" t="s">
        <v>126</v>
      </c>
    </row>
    <row r="7">
      <c r="B7" s="17" t="s">
        <v>127</v>
      </c>
      <c r="C7" s="55">
        <v>0.759</v>
      </c>
      <c r="D7" s="32">
        <f t="shared" si="1"/>
        <v>14307.15</v>
      </c>
      <c r="E7" s="56" t="s">
        <v>128</v>
      </c>
    </row>
    <row r="8">
      <c r="B8" s="17" t="s">
        <v>129</v>
      </c>
      <c r="C8" s="55">
        <v>0.103</v>
      </c>
      <c r="D8" s="32">
        <f t="shared" si="1"/>
        <v>1941.55</v>
      </c>
      <c r="E8" s="56"/>
    </row>
    <row r="9">
      <c r="B9" s="23" t="s">
        <v>130</v>
      </c>
      <c r="C9" s="57">
        <f>SUM(C6:C8)</f>
        <v>1</v>
      </c>
      <c r="D9" s="58">
        <f>SUM(D6:D8)-D5</f>
        <v>0</v>
      </c>
    </row>
    <row r="11">
      <c r="B11" s="14" t="s">
        <v>26</v>
      </c>
      <c r="C11" s="15"/>
      <c r="D11" s="53">
        <f>'Event Budget'!G7</f>
        <v>10135.57484</v>
      </c>
      <c r="E11" s="54" t="s">
        <v>124</v>
      </c>
    </row>
    <row r="12">
      <c r="B12" s="17" t="s">
        <v>131</v>
      </c>
      <c r="C12" s="55">
        <v>0.34</v>
      </c>
      <c r="D12" s="32">
        <f t="shared" ref="D12:D15" si="2">$D$11*C12</f>
        <v>3446.095445</v>
      </c>
      <c r="E12" s="56"/>
    </row>
    <row r="13">
      <c r="B13" s="17" t="s">
        <v>132</v>
      </c>
      <c r="C13" s="55">
        <v>0.3</v>
      </c>
      <c r="D13" s="32">
        <f t="shared" si="2"/>
        <v>3040.672451</v>
      </c>
      <c r="E13" s="56"/>
    </row>
    <row r="14">
      <c r="B14" s="17" t="s">
        <v>133</v>
      </c>
      <c r="C14" s="55">
        <v>0.16</v>
      </c>
      <c r="D14" s="32">
        <f t="shared" si="2"/>
        <v>1621.691974</v>
      </c>
      <c r="E14" s="56"/>
    </row>
    <row r="15">
      <c r="B15" s="17" t="s">
        <v>134</v>
      </c>
      <c r="C15" s="55">
        <v>0.2</v>
      </c>
      <c r="D15" s="32">
        <f t="shared" si="2"/>
        <v>2027.114967</v>
      </c>
      <c r="E15" s="56"/>
    </row>
    <row r="16">
      <c r="B16" s="23" t="s">
        <v>130</v>
      </c>
      <c r="C16" s="57">
        <f>SUM(C12:C15)</f>
        <v>1</v>
      </c>
      <c r="D16" s="58">
        <f>SUM(D12:D15)-D11</f>
        <v>0</v>
      </c>
    </row>
    <row r="18">
      <c r="B18" s="14" t="s">
        <v>28</v>
      </c>
      <c r="C18" s="15"/>
      <c r="D18" s="53">
        <f>'Event Budget'!G8</f>
        <v>5405.639913</v>
      </c>
      <c r="E18" s="54" t="s">
        <v>124</v>
      </c>
    </row>
    <row r="19">
      <c r="B19" s="17" t="s">
        <v>135</v>
      </c>
      <c r="C19" s="55">
        <v>0.45</v>
      </c>
      <c r="D19" s="32">
        <f t="shared" ref="D19:D21" si="3">$D$18*C19</f>
        <v>2432.537961</v>
      </c>
      <c r="E19" s="56"/>
    </row>
    <row r="20">
      <c r="B20" s="17" t="s">
        <v>136</v>
      </c>
      <c r="C20" s="55">
        <v>0.25</v>
      </c>
      <c r="D20" s="32">
        <f t="shared" si="3"/>
        <v>1351.409978</v>
      </c>
      <c r="E20" s="56"/>
    </row>
    <row r="21" ht="15.75" customHeight="1">
      <c r="B21" s="17" t="s">
        <v>137</v>
      </c>
      <c r="C21" s="55">
        <v>0.3</v>
      </c>
      <c r="D21" s="32">
        <f t="shared" si="3"/>
        <v>1621.691974</v>
      </c>
      <c r="E21" s="56"/>
    </row>
    <row r="22" ht="15.75" customHeight="1">
      <c r="B22" s="23" t="s">
        <v>130</v>
      </c>
      <c r="C22" s="57">
        <f>SUM(C19:C21)</f>
        <v>1</v>
      </c>
      <c r="D22" s="58">
        <f>SUM(D19:D21)-D18</f>
        <v>0</v>
      </c>
    </row>
    <row r="23" ht="15.75" customHeight="1"/>
    <row r="24" ht="15.75" customHeight="1">
      <c r="B24" s="14" t="s">
        <v>30</v>
      </c>
      <c r="C24" s="15"/>
      <c r="D24" s="53">
        <f>'Event Budget'!G9</f>
        <v>3378.524946</v>
      </c>
      <c r="E24" s="54" t="s">
        <v>124</v>
      </c>
    </row>
    <row r="25" ht="15.75" customHeight="1">
      <c r="B25" s="17" t="s">
        <v>138</v>
      </c>
      <c r="C25" s="55">
        <v>0.45</v>
      </c>
      <c r="D25" s="32">
        <f t="shared" ref="D25:D27" si="4">$D$24*C25</f>
        <v>1520.336226</v>
      </c>
      <c r="E25" s="56"/>
    </row>
    <row r="26" ht="15.75" customHeight="1">
      <c r="B26" s="17" t="s">
        <v>139</v>
      </c>
      <c r="C26" s="55">
        <v>0.2</v>
      </c>
      <c r="D26" s="32">
        <f t="shared" si="4"/>
        <v>675.7049892</v>
      </c>
      <c r="E26" s="56"/>
    </row>
    <row r="27" ht="15.75" customHeight="1">
      <c r="B27" s="17" t="s">
        <v>140</v>
      </c>
      <c r="C27" s="55">
        <v>0.35</v>
      </c>
      <c r="D27" s="32">
        <f t="shared" si="4"/>
        <v>1182.483731</v>
      </c>
      <c r="E27" s="56"/>
    </row>
    <row r="28" ht="15.75" customHeight="1">
      <c r="B28" s="23" t="s">
        <v>130</v>
      </c>
      <c r="C28" s="57">
        <f>SUM(C25:C27)</f>
        <v>1</v>
      </c>
      <c r="D28" s="58">
        <f>SUM(D25:D27)-D24</f>
        <v>0</v>
      </c>
    </row>
    <row r="29" ht="15.75" customHeight="1"/>
    <row r="30" ht="15.75" customHeight="1">
      <c r="B30" s="14" t="s">
        <v>32</v>
      </c>
      <c r="C30" s="15"/>
      <c r="D30" s="53">
        <f>'Event Budget'!G10</f>
        <v>6757.049892</v>
      </c>
      <c r="E30" s="54" t="s">
        <v>124</v>
      </c>
    </row>
    <row r="31" ht="15.75" customHeight="1">
      <c r="B31" s="17" t="s">
        <v>141</v>
      </c>
      <c r="C31" s="55">
        <v>0.3</v>
      </c>
      <c r="D31" s="32">
        <f t="shared" ref="D31:D34" si="5">$D$30*C31</f>
        <v>2027.114967</v>
      </c>
      <c r="E31" s="56"/>
    </row>
    <row r="32" ht="15.75" customHeight="1">
      <c r="B32" s="17" t="s">
        <v>142</v>
      </c>
      <c r="C32" s="55">
        <v>0.2</v>
      </c>
      <c r="D32" s="32">
        <f t="shared" si="5"/>
        <v>1351.409978</v>
      </c>
      <c r="E32" s="56"/>
    </row>
    <row r="33" ht="15.75" customHeight="1">
      <c r="B33" s="17" t="s">
        <v>143</v>
      </c>
      <c r="C33" s="55">
        <v>0.25</v>
      </c>
      <c r="D33" s="32">
        <f t="shared" si="5"/>
        <v>1689.262473</v>
      </c>
      <c r="E33" s="56"/>
    </row>
    <row r="34" ht="15.75" customHeight="1">
      <c r="B34" s="17" t="s">
        <v>144</v>
      </c>
      <c r="C34" s="55">
        <v>0.25</v>
      </c>
      <c r="D34" s="32">
        <f t="shared" si="5"/>
        <v>1689.262473</v>
      </c>
      <c r="E34" s="56"/>
    </row>
    <row r="35" ht="15.75" customHeight="1">
      <c r="B35" s="23" t="s">
        <v>130</v>
      </c>
      <c r="C35" s="57">
        <f>SUM(C31:C34)</f>
        <v>1</v>
      </c>
      <c r="D35" s="58">
        <f>SUM(D31:D34)-D30</f>
        <v>0</v>
      </c>
    </row>
    <row r="36" ht="15.75" customHeight="1"/>
    <row r="37" ht="15.75" customHeight="1">
      <c r="B37" s="14" t="s">
        <v>34</v>
      </c>
      <c r="C37" s="15"/>
      <c r="D37" s="53">
        <f>'Event Budget'!G11</f>
        <v>3446.095445</v>
      </c>
      <c r="E37" s="54" t="s">
        <v>124</v>
      </c>
    </row>
    <row r="38" ht="15.75" customHeight="1">
      <c r="B38" s="17" t="s">
        <v>145</v>
      </c>
      <c r="C38" s="55">
        <v>0.4</v>
      </c>
      <c r="D38" s="32">
        <f t="shared" ref="D38:D40" si="6">$D$37*C38</f>
        <v>1378.438178</v>
      </c>
      <c r="E38" s="56"/>
    </row>
    <row r="39" ht="15.75" customHeight="1">
      <c r="B39" s="17" t="s">
        <v>146</v>
      </c>
      <c r="C39" s="55">
        <v>0.35</v>
      </c>
      <c r="D39" s="32">
        <f t="shared" si="6"/>
        <v>1206.133406</v>
      </c>
      <c r="E39" s="56"/>
    </row>
    <row r="40" ht="15.75" customHeight="1">
      <c r="B40" s="17" t="s">
        <v>147</v>
      </c>
      <c r="C40" s="55">
        <v>0.25</v>
      </c>
      <c r="D40" s="32">
        <f t="shared" si="6"/>
        <v>861.5238612</v>
      </c>
      <c r="E40" s="56"/>
    </row>
    <row r="41" ht="15.75" customHeight="1">
      <c r="B41" s="23" t="s">
        <v>130</v>
      </c>
      <c r="C41" s="57">
        <f>SUM(C38:C40)</f>
        <v>1</v>
      </c>
      <c r="D41" s="58">
        <f>SUM(D38:D40)-D37</f>
        <v>0</v>
      </c>
    </row>
    <row r="42" ht="15.75" customHeight="1"/>
    <row r="43" ht="15.75" customHeight="1">
      <c r="B43" s="14" t="s">
        <v>36</v>
      </c>
      <c r="C43" s="15"/>
      <c r="D43" s="53">
        <f>'Event Budget'!G12</f>
        <v>2027.114967</v>
      </c>
      <c r="E43" s="54" t="s">
        <v>124</v>
      </c>
    </row>
    <row r="44" ht="15.75" customHeight="1">
      <c r="B44" s="17" t="s">
        <v>148</v>
      </c>
      <c r="C44" s="55">
        <v>0.7</v>
      </c>
      <c r="D44" s="32">
        <f t="shared" ref="D44:D45" si="7">$D$43*C44</f>
        <v>1418.980477</v>
      </c>
      <c r="E44" s="56"/>
    </row>
    <row r="45" ht="15.75" customHeight="1">
      <c r="B45" s="17" t="s">
        <v>149</v>
      </c>
      <c r="C45" s="55">
        <v>0.3</v>
      </c>
      <c r="D45" s="32">
        <f t="shared" si="7"/>
        <v>608.1344902</v>
      </c>
      <c r="E45" s="56"/>
    </row>
    <row r="46" ht="15.75" customHeight="1">
      <c r="B46" s="23" t="s">
        <v>130</v>
      </c>
      <c r="C46" s="57">
        <f>SUM(C44:C45)</f>
        <v>1</v>
      </c>
      <c r="D46" s="58">
        <f>SUM(D44:D45)-D43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13.0"/>
    <col customWidth="1" min="4" max="6" width="11.0"/>
    <col customWidth="1" min="7" max="7" width="13.0"/>
    <col customWidth="1" min="8" max="26" width="8.71"/>
  </cols>
  <sheetData>
    <row r="1">
      <c r="A1" s="1" t="s">
        <v>150</v>
      </c>
    </row>
    <row r="2">
      <c r="D2" s="59" t="s">
        <v>151</v>
      </c>
      <c r="E2" s="60">
        <f>G23</f>
        <v>2262</v>
      </c>
    </row>
    <row r="3">
      <c r="A3" s="2" t="s">
        <v>152</v>
      </c>
    </row>
    <row r="4">
      <c r="B4" s="7" t="s">
        <v>153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158</v>
      </c>
    </row>
    <row r="5">
      <c r="B5" s="17" t="s">
        <v>159</v>
      </c>
      <c r="C5" s="56" t="s">
        <v>160</v>
      </c>
      <c r="D5" s="29">
        <v>1.0</v>
      </c>
      <c r="E5" s="61">
        <v>3.0</v>
      </c>
      <c r="F5" s="62">
        <v>60.0</v>
      </c>
      <c r="G5" s="32">
        <f t="shared" ref="G5:G22" si="1">D5*E5*F5</f>
        <v>180</v>
      </c>
    </row>
    <row r="6">
      <c r="B6" s="17" t="s">
        <v>161</v>
      </c>
      <c r="C6" s="56" t="s">
        <v>160</v>
      </c>
      <c r="D6" s="29">
        <v>1.0</v>
      </c>
      <c r="E6" s="61">
        <v>3.0</v>
      </c>
      <c r="F6" s="62">
        <v>45.0</v>
      </c>
      <c r="G6" s="32">
        <f t="shared" si="1"/>
        <v>135</v>
      </c>
    </row>
    <row r="7">
      <c r="B7" s="17" t="s">
        <v>162</v>
      </c>
      <c r="C7" s="56" t="s">
        <v>160</v>
      </c>
      <c r="D7" s="29">
        <v>1.0</v>
      </c>
      <c r="E7" s="61">
        <v>3.0</v>
      </c>
      <c r="F7" s="62">
        <v>45.0</v>
      </c>
      <c r="G7" s="32">
        <f t="shared" si="1"/>
        <v>135</v>
      </c>
    </row>
    <row r="8">
      <c r="B8" s="17" t="s">
        <v>163</v>
      </c>
      <c r="C8" s="56" t="s">
        <v>160</v>
      </c>
      <c r="D8" s="29">
        <v>2.0</v>
      </c>
      <c r="E8" s="61">
        <v>3.0</v>
      </c>
      <c r="F8" s="62">
        <v>20.0</v>
      </c>
      <c r="G8" s="32">
        <f t="shared" si="1"/>
        <v>120</v>
      </c>
    </row>
    <row r="9">
      <c r="B9" s="17" t="s">
        <v>164</v>
      </c>
      <c r="C9" s="56" t="s">
        <v>160</v>
      </c>
      <c r="D9" s="29">
        <v>1.0</v>
      </c>
      <c r="E9" s="61">
        <v>3.0</v>
      </c>
      <c r="F9" s="62">
        <v>25.0</v>
      </c>
      <c r="G9" s="32">
        <f t="shared" si="1"/>
        <v>75</v>
      </c>
    </row>
    <row r="10">
      <c r="B10" s="17" t="s">
        <v>165</v>
      </c>
      <c r="C10" s="56" t="s">
        <v>160</v>
      </c>
      <c r="D10" s="29">
        <v>1.0</v>
      </c>
      <c r="E10" s="61">
        <v>3.0</v>
      </c>
      <c r="F10" s="62">
        <v>25.0</v>
      </c>
      <c r="G10" s="32">
        <f t="shared" si="1"/>
        <v>75</v>
      </c>
    </row>
    <row r="11">
      <c r="B11" s="17" t="s">
        <v>166</v>
      </c>
      <c r="C11" s="56" t="s">
        <v>160</v>
      </c>
      <c r="D11" s="29">
        <v>1.0</v>
      </c>
      <c r="E11" s="61">
        <v>3.0</v>
      </c>
      <c r="F11" s="62">
        <v>22.0</v>
      </c>
      <c r="G11" s="32">
        <f t="shared" si="1"/>
        <v>66</v>
      </c>
    </row>
    <row r="12">
      <c r="B12" s="17" t="s">
        <v>167</v>
      </c>
      <c r="C12" s="56" t="s">
        <v>168</v>
      </c>
      <c r="D12" s="29">
        <v>3.0</v>
      </c>
      <c r="E12" s="61">
        <v>3.0</v>
      </c>
      <c r="F12" s="62">
        <v>22.0</v>
      </c>
      <c r="G12" s="32">
        <f t="shared" si="1"/>
        <v>198</v>
      </c>
    </row>
    <row r="13">
      <c r="B13" s="17" t="s">
        <v>169</v>
      </c>
      <c r="C13" s="56" t="s">
        <v>168</v>
      </c>
      <c r="D13" s="29">
        <v>4.0</v>
      </c>
      <c r="E13" s="61">
        <v>1.0</v>
      </c>
      <c r="F13" s="62">
        <v>15.0</v>
      </c>
      <c r="G13" s="32">
        <f t="shared" si="1"/>
        <v>60</v>
      </c>
    </row>
    <row r="14">
      <c r="B14" s="17" t="s">
        <v>170</v>
      </c>
      <c r="C14" s="56" t="s">
        <v>30</v>
      </c>
      <c r="D14" s="29">
        <v>4.0</v>
      </c>
      <c r="E14" s="61">
        <v>1.0</v>
      </c>
      <c r="F14" s="62">
        <v>18.0</v>
      </c>
      <c r="G14" s="32">
        <f t="shared" si="1"/>
        <v>72</v>
      </c>
    </row>
    <row r="15">
      <c r="B15" s="17" t="s">
        <v>171</v>
      </c>
      <c r="C15" s="56" t="s">
        <v>172</v>
      </c>
      <c r="D15" s="29">
        <v>5.0</v>
      </c>
      <c r="E15" s="61">
        <v>3.0</v>
      </c>
      <c r="F15" s="62">
        <v>16.0</v>
      </c>
      <c r="G15" s="32">
        <f t="shared" si="1"/>
        <v>240</v>
      </c>
    </row>
    <row r="16">
      <c r="B16" s="17" t="s">
        <v>173</v>
      </c>
      <c r="C16" s="56" t="s">
        <v>172</v>
      </c>
      <c r="D16" s="29">
        <v>6.0</v>
      </c>
      <c r="E16" s="29">
        <v>2.0</v>
      </c>
      <c r="F16" s="62">
        <v>18.0</v>
      </c>
      <c r="G16" s="32">
        <f t="shared" si="1"/>
        <v>216</v>
      </c>
    </row>
    <row r="17">
      <c r="B17" s="17" t="s">
        <v>174</v>
      </c>
      <c r="C17" s="56" t="s">
        <v>160</v>
      </c>
      <c r="D17" s="29">
        <v>4.0</v>
      </c>
      <c r="E17" s="61">
        <v>3.0</v>
      </c>
      <c r="F17" s="62">
        <v>20.0</v>
      </c>
      <c r="G17" s="32">
        <f t="shared" si="1"/>
        <v>240</v>
      </c>
    </row>
    <row r="18">
      <c r="B18" s="17" t="s">
        <v>175</v>
      </c>
      <c r="C18" s="56" t="s">
        <v>34</v>
      </c>
      <c r="D18" s="29">
        <v>4.0</v>
      </c>
      <c r="E18" s="61">
        <v>1.0</v>
      </c>
      <c r="F18" s="62">
        <v>15.0</v>
      </c>
      <c r="G18" s="32">
        <f t="shared" si="1"/>
        <v>60</v>
      </c>
    </row>
    <row r="19">
      <c r="B19" s="17" t="s">
        <v>176</v>
      </c>
      <c r="C19" s="56" t="s">
        <v>177</v>
      </c>
      <c r="D19" s="29">
        <v>3.0</v>
      </c>
      <c r="E19" s="61">
        <v>1.0</v>
      </c>
      <c r="F19" s="62">
        <v>16.0</v>
      </c>
      <c r="G19" s="32">
        <f t="shared" si="1"/>
        <v>48</v>
      </c>
    </row>
    <row r="20">
      <c r="B20" s="17" t="s">
        <v>178</v>
      </c>
      <c r="C20" s="56" t="s">
        <v>177</v>
      </c>
      <c r="D20" s="29">
        <v>6.0</v>
      </c>
      <c r="E20" s="61">
        <v>1.0</v>
      </c>
      <c r="F20" s="62">
        <v>12.0</v>
      </c>
      <c r="G20" s="32">
        <f t="shared" si="1"/>
        <v>72</v>
      </c>
    </row>
    <row r="21" ht="15.75" customHeight="1">
      <c r="B21" s="17" t="s">
        <v>179</v>
      </c>
      <c r="C21" s="56" t="s">
        <v>177</v>
      </c>
      <c r="D21" s="29">
        <v>150.0</v>
      </c>
      <c r="E21" s="29">
        <v>1.0</v>
      </c>
      <c r="F21" s="62">
        <v>1.2</v>
      </c>
      <c r="G21" s="32">
        <f t="shared" si="1"/>
        <v>180</v>
      </c>
    </row>
    <row r="22" ht="15.75" customHeight="1">
      <c r="B22" s="17" t="s">
        <v>180</v>
      </c>
      <c r="C22" s="56" t="s">
        <v>30</v>
      </c>
      <c r="D22" s="29">
        <v>6.0</v>
      </c>
      <c r="E22" s="29">
        <v>1.0</v>
      </c>
      <c r="F22" s="62">
        <v>15.0</v>
      </c>
      <c r="G22" s="32">
        <f t="shared" si="1"/>
        <v>90</v>
      </c>
    </row>
    <row r="23" ht="15.75" customHeight="1">
      <c r="B23" s="20" t="s">
        <v>181</v>
      </c>
      <c r="C23" s="34"/>
      <c r="D23" s="63">
        <f>SUM(D5:D22)</f>
        <v>203</v>
      </c>
      <c r="E23" s="34"/>
      <c r="F23" s="34"/>
      <c r="G23" s="36">
        <f>SUM(G5:G22)</f>
        <v>2262</v>
      </c>
    </row>
    <row r="24" ht="15.75" customHeight="1"/>
    <row r="25" ht="15.75" customHeight="1">
      <c r="B25" s="51" t="s">
        <v>182</v>
      </c>
      <c r="G25" s="64">
        <f>G23/Scenario!E26</f>
        <v>0.04524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12.0"/>
    <col customWidth="1" min="4" max="4" width="7.0"/>
    <col customWidth="1" min="5" max="7" width="11.0"/>
    <col customWidth="1" min="8" max="8" width="9.0"/>
    <col customWidth="1" min="9" max="26" width="8.71"/>
  </cols>
  <sheetData>
    <row r="1">
      <c r="A1" s="1" t="s">
        <v>183</v>
      </c>
    </row>
    <row r="2">
      <c r="F2" s="59" t="s">
        <v>184</v>
      </c>
      <c r="G2" s="60">
        <f>G25</f>
        <v>31200</v>
      </c>
    </row>
    <row r="3">
      <c r="A3" s="2" t="s">
        <v>185</v>
      </c>
    </row>
    <row r="4">
      <c r="B4" s="7" t="s">
        <v>186</v>
      </c>
      <c r="C4" s="7" t="s">
        <v>154</v>
      </c>
      <c r="D4" s="7" t="s">
        <v>53</v>
      </c>
      <c r="E4" s="7" t="s">
        <v>187</v>
      </c>
      <c r="F4" s="7" t="s">
        <v>188</v>
      </c>
      <c r="G4" s="7" t="s">
        <v>158</v>
      </c>
      <c r="H4" s="7" t="s">
        <v>189</v>
      </c>
    </row>
    <row r="5">
      <c r="B5" s="17" t="s">
        <v>190</v>
      </c>
      <c r="C5" s="56" t="s">
        <v>177</v>
      </c>
      <c r="D5" s="28" t="s">
        <v>191</v>
      </c>
      <c r="E5" s="29">
        <v>1.0</v>
      </c>
      <c r="F5" s="62">
        <v>2600.0</v>
      </c>
      <c r="G5" s="32">
        <f t="shared" ref="G5:G24" si="1">E5*F5</f>
        <v>2600</v>
      </c>
      <c r="H5" s="65">
        <v>0.4</v>
      </c>
    </row>
    <row r="6">
      <c r="B6" s="17" t="s">
        <v>192</v>
      </c>
      <c r="C6" s="56" t="s">
        <v>177</v>
      </c>
      <c r="D6" s="28" t="s">
        <v>191</v>
      </c>
      <c r="E6" s="29">
        <v>1.0</v>
      </c>
      <c r="F6" s="62">
        <v>2400.0</v>
      </c>
      <c r="G6" s="32">
        <f t="shared" si="1"/>
        <v>2400</v>
      </c>
      <c r="H6" s="65">
        <v>0.4</v>
      </c>
    </row>
    <row r="7">
      <c r="B7" s="17" t="s">
        <v>193</v>
      </c>
      <c r="C7" s="56" t="s">
        <v>177</v>
      </c>
      <c r="D7" s="28" t="s">
        <v>191</v>
      </c>
      <c r="E7" s="29">
        <v>1.0</v>
      </c>
      <c r="F7" s="62">
        <v>1500.0</v>
      </c>
      <c r="G7" s="32">
        <f t="shared" si="1"/>
        <v>1500</v>
      </c>
      <c r="H7" s="65">
        <v>0.3</v>
      </c>
    </row>
    <row r="8">
      <c r="B8" s="17" t="s">
        <v>133</v>
      </c>
      <c r="C8" s="56" t="s">
        <v>177</v>
      </c>
      <c r="D8" s="28" t="s">
        <v>191</v>
      </c>
      <c r="E8" s="29">
        <v>1.0</v>
      </c>
      <c r="F8" s="62">
        <v>1100.0</v>
      </c>
      <c r="G8" s="32">
        <f t="shared" si="1"/>
        <v>1100</v>
      </c>
      <c r="H8" s="65">
        <v>0.3</v>
      </c>
    </row>
    <row r="9">
      <c r="B9" s="17" t="s">
        <v>135</v>
      </c>
      <c r="C9" s="56" t="s">
        <v>168</v>
      </c>
      <c r="D9" s="28" t="s">
        <v>191</v>
      </c>
      <c r="E9" s="29">
        <v>1.0</v>
      </c>
      <c r="F9" s="62">
        <v>1500.0</v>
      </c>
      <c r="G9" s="32">
        <f t="shared" si="1"/>
        <v>1500</v>
      </c>
      <c r="H9" s="65">
        <v>0.3</v>
      </c>
    </row>
    <row r="10">
      <c r="B10" s="17" t="s">
        <v>136</v>
      </c>
      <c r="C10" s="56" t="s">
        <v>168</v>
      </c>
      <c r="D10" s="28" t="s">
        <v>191</v>
      </c>
      <c r="E10" s="29">
        <v>1.0</v>
      </c>
      <c r="F10" s="62">
        <v>1300.0</v>
      </c>
      <c r="G10" s="32">
        <f t="shared" si="1"/>
        <v>1300</v>
      </c>
      <c r="H10" s="65">
        <v>0.5</v>
      </c>
    </row>
    <row r="11">
      <c r="B11" s="17" t="s">
        <v>137</v>
      </c>
      <c r="C11" s="56" t="s">
        <v>168</v>
      </c>
      <c r="D11" s="28" t="s">
        <v>191</v>
      </c>
      <c r="E11" s="29">
        <v>1.0</v>
      </c>
      <c r="F11" s="62">
        <v>1500.0</v>
      </c>
      <c r="G11" s="32">
        <f t="shared" si="1"/>
        <v>1500</v>
      </c>
      <c r="H11" s="65">
        <v>0.3</v>
      </c>
    </row>
    <row r="12">
      <c r="B12" s="17" t="s">
        <v>141</v>
      </c>
      <c r="C12" s="56" t="s">
        <v>172</v>
      </c>
      <c r="D12" s="28" t="s">
        <v>191</v>
      </c>
      <c r="E12" s="29">
        <v>1.0</v>
      </c>
      <c r="F12" s="62">
        <v>3200.0</v>
      </c>
      <c r="G12" s="32">
        <f t="shared" si="1"/>
        <v>3200</v>
      </c>
      <c r="H12" s="65">
        <v>0.4</v>
      </c>
    </row>
    <row r="13">
      <c r="B13" s="17" t="s">
        <v>194</v>
      </c>
      <c r="C13" s="56" t="s">
        <v>172</v>
      </c>
      <c r="D13" s="28" t="s">
        <v>191</v>
      </c>
      <c r="E13" s="29">
        <v>1.0</v>
      </c>
      <c r="F13" s="62">
        <v>1200.0</v>
      </c>
      <c r="G13" s="32">
        <f t="shared" si="1"/>
        <v>1200</v>
      </c>
      <c r="H13" s="65">
        <v>0.3</v>
      </c>
    </row>
    <row r="14">
      <c r="B14" s="17" t="s">
        <v>144</v>
      </c>
      <c r="C14" s="56" t="s">
        <v>172</v>
      </c>
      <c r="D14" s="28" t="s">
        <v>191</v>
      </c>
      <c r="E14" s="29">
        <v>1.0</v>
      </c>
      <c r="F14" s="62">
        <v>2000.0</v>
      </c>
      <c r="G14" s="32">
        <f t="shared" si="1"/>
        <v>2000</v>
      </c>
      <c r="H14" s="65">
        <v>0.5</v>
      </c>
    </row>
    <row r="15">
      <c r="B15" s="17" t="s">
        <v>195</v>
      </c>
      <c r="C15" s="56" t="s">
        <v>30</v>
      </c>
      <c r="D15" s="28" t="s">
        <v>191</v>
      </c>
      <c r="E15" s="29">
        <v>1.0</v>
      </c>
      <c r="F15" s="62">
        <v>2600.0</v>
      </c>
      <c r="G15" s="32">
        <f t="shared" si="1"/>
        <v>2600</v>
      </c>
      <c r="H15" s="65">
        <v>0.3</v>
      </c>
    </row>
    <row r="16">
      <c r="B16" s="17" t="s">
        <v>196</v>
      </c>
      <c r="C16" s="56" t="s">
        <v>30</v>
      </c>
      <c r="D16" s="28" t="s">
        <v>191</v>
      </c>
      <c r="E16" s="29">
        <v>1.0</v>
      </c>
      <c r="F16" s="62">
        <v>1700.0</v>
      </c>
      <c r="G16" s="32">
        <f t="shared" si="1"/>
        <v>1700</v>
      </c>
      <c r="H16" s="65">
        <v>0.3</v>
      </c>
    </row>
    <row r="17">
      <c r="B17" s="17" t="s">
        <v>197</v>
      </c>
      <c r="C17" s="56" t="s">
        <v>34</v>
      </c>
      <c r="D17" s="28" t="s">
        <v>191</v>
      </c>
      <c r="E17" s="29">
        <v>1.0</v>
      </c>
      <c r="F17" s="62">
        <v>1700.0</v>
      </c>
      <c r="G17" s="32">
        <f t="shared" si="1"/>
        <v>1700</v>
      </c>
      <c r="H17" s="65">
        <v>0.3</v>
      </c>
    </row>
    <row r="18">
      <c r="B18" s="17" t="s">
        <v>198</v>
      </c>
      <c r="C18" s="56" t="s">
        <v>34</v>
      </c>
      <c r="D18" s="28" t="s">
        <v>191</v>
      </c>
      <c r="E18" s="29">
        <v>1.0</v>
      </c>
      <c r="F18" s="62">
        <v>2400.0</v>
      </c>
      <c r="G18" s="32">
        <f t="shared" si="1"/>
        <v>2400</v>
      </c>
      <c r="H18" s="65">
        <v>0.3</v>
      </c>
    </row>
    <row r="19">
      <c r="B19" s="17" t="s">
        <v>199</v>
      </c>
      <c r="C19" s="56" t="s">
        <v>177</v>
      </c>
      <c r="D19" s="28" t="s">
        <v>191</v>
      </c>
      <c r="E19" s="29">
        <v>1.0</v>
      </c>
      <c r="F19" s="62">
        <v>1200.0</v>
      </c>
      <c r="G19" s="32">
        <f t="shared" si="1"/>
        <v>1200</v>
      </c>
      <c r="H19" s="65">
        <v>0.3</v>
      </c>
    </row>
    <row r="20">
      <c r="B20" s="17" t="s">
        <v>200</v>
      </c>
      <c r="C20" s="56" t="s">
        <v>177</v>
      </c>
      <c r="D20" s="28" t="s">
        <v>191</v>
      </c>
      <c r="E20" s="29">
        <v>1.0</v>
      </c>
      <c r="F20" s="62">
        <v>700.0</v>
      </c>
      <c r="G20" s="32">
        <f t="shared" si="1"/>
        <v>700</v>
      </c>
      <c r="H20" s="65">
        <v>0.3</v>
      </c>
    </row>
    <row r="21" ht="15.75" customHeight="1">
      <c r="B21" s="17" t="s">
        <v>201</v>
      </c>
      <c r="C21" s="56" t="s">
        <v>177</v>
      </c>
      <c r="D21" s="28" t="s">
        <v>191</v>
      </c>
      <c r="E21" s="29">
        <v>1.0</v>
      </c>
      <c r="F21" s="62">
        <v>500.0</v>
      </c>
      <c r="G21" s="32">
        <f t="shared" si="1"/>
        <v>500</v>
      </c>
      <c r="H21" s="65">
        <v>0.5</v>
      </c>
    </row>
    <row r="22" ht="15.75" customHeight="1">
      <c r="B22" s="17" t="s">
        <v>202</v>
      </c>
      <c r="C22" s="56" t="s">
        <v>30</v>
      </c>
      <c r="D22" s="28" t="s">
        <v>191</v>
      </c>
      <c r="E22" s="29">
        <v>1.0</v>
      </c>
      <c r="F22" s="62">
        <v>700.0</v>
      </c>
      <c r="G22" s="32">
        <f t="shared" si="1"/>
        <v>700</v>
      </c>
      <c r="H22" s="65">
        <v>0.4</v>
      </c>
    </row>
    <row r="23" ht="15.75" customHeight="1">
      <c r="B23" s="17" t="s">
        <v>203</v>
      </c>
      <c r="C23" s="56" t="s">
        <v>34</v>
      </c>
      <c r="D23" s="28" t="s">
        <v>191</v>
      </c>
      <c r="E23" s="29">
        <v>1.0</v>
      </c>
      <c r="F23" s="62">
        <v>500.0</v>
      </c>
      <c r="G23" s="32">
        <f t="shared" si="1"/>
        <v>500</v>
      </c>
      <c r="H23" s="65">
        <v>0.3</v>
      </c>
    </row>
    <row r="24" ht="15.75" customHeight="1">
      <c r="B24" s="17" t="s">
        <v>204</v>
      </c>
      <c r="C24" s="56" t="s">
        <v>36</v>
      </c>
      <c r="D24" s="28" t="s">
        <v>191</v>
      </c>
      <c r="E24" s="29">
        <v>1.0</v>
      </c>
      <c r="F24" s="62">
        <v>900.0</v>
      </c>
      <c r="G24" s="32">
        <f t="shared" si="1"/>
        <v>900</v>
      </c>
      <c r="H24" s="65">
        <v>1.0</v>
      </c>
    </row>
    <row r="25" ht="15.75" customHeight="1">
      <c r="B25" s="20" t="s">
        <v>205</v>
      </c>
      <c r="C25" s="34"/>
      <c r="D25" s="34"/>
      <c r="E25" s="34"/>
      <c r="F25" s="34"/>
      <c r="G25" s="36">
        <f>SUM(G5:G24)</f>
        <v>31200</v>
      </c>
      <c r="H25" s="34"/>
    </row>
    <row r="26" ht="15.75" customHeight="1"/>
    <row r="27" ht="15.75" customHeight="1">
      <c r="B27" s="51" t="s">
        <v>182</v>
      </c>
      <c r="G27" s="64">
        <f>G25/Scenario!E26</f>
        <v>0.624</v>
      </c>
    </row>
    <row r="28" ht="15.75" customHeight="1">
      <c r="B28" s="51" t="s">
        <v>206</v>
      </c>
      <c r="G28" s="66">
        <f>SUMPRODUCT(G5:G24,H5:H24)</f>
        <v>11640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10" width="12.0"/>
    <col customWidth="1" min="11" max="26" width="8.71"/>
  </cols>
  <sheetData>
    <row r="1">
      <c r="A1" s="1" t="s">
        <v>207</v>
      </c>
    </row>
    <row r="2">
      <c r="A2" s="2" t="s">
        <v>208</v>
      </c>
    </row>
    <row r="4">
      <c r="B4" s="7" t="s">
        <v>209</v>
      </c>
      <c r="C4" s="7" t="s">
        <v>210</v>
      </c>
      <c r="D4" s="7" t="s">
        <v>211</v>
      </c>
      <c r="E4" s="7" t="s">
        <v>42</v>
      </c>
      <c r="F4" s="7" t="s">
        <v>4</v>
      </c>
      <c r="G4" s="7" t="s">
        <v>43</v>
      </c>
      <c r="H4" s="7" t="s">
        <v>106</v>
      </c>
      <c r="I4" s="7" t="s">
        <v>212</v>
      </c>
      <c r="J4" s="7" t="s">
        <v>213</v>
      </c>
    </row>
    <row r="5">
      <c r="B5" s="26" t="s">
        <v>25</v>
      </c>
      <c r="C5" s="67" t="s">
        <v>214</v>
      </c>
      <c r="D5" s="29">
        <v>1.0</v>
      </c>
      <c r="E5" s="47">
        <f>Scenario!D38</f>
        <v>12250</v>
      </c>
      <c r="F5" s="47">
        <f>Scenario!E38</f>
        <v>18375</v>
      </c>
      <c r="G5" s="47">
        <f>Scenario!F38</f>
        <v>26950</v>
      </c>
      <c r="H5" s="41">
        <f>CHOOSE(Dashboard!$C$6,E5,F5,G5)</f>
        <v>18375</v>
      </c>
      <c r="I5" s="65">
        <v>0.7</v>
      </c>
      <c r="J5" s="32">
        <f t="shared" ref="J5:J8" si="1">H5*3</f>
        <v>55125</v>
      </c>
    </row>
    <row r="6">
      <c r="B6" s="26" t="s">
        <v>27</v>
      </c>
      <c r="C6" s="67" t="s">
        <v>215</v>
      </c>
      <c r="D6" s="29">
        <v>2.0</v>
      </c>
      <c r="E6" s="47">
        <f>Scenario!D39</f>
        <v>8750</v>
      </c>
      <c r="F6" s="47">
        <f>Scenario!E39</f>
        <v>13125</v>
      </c>
      <c r="G6" s="47">
        <f>Scenario!F39</f>
        <v>19250</v>
      </c>
      <c r="H6" s="41">
        <f>CHOOSE(Dashboard!$C$6,E6,F6,G6)</f>
        <v>13125</v>
      </c>
      <c r="I6" s="65">
        <v>0.6</v>
      </c>
      <c r="J6" s="32">
        <f t="shared" si="1"/>
        <v>39375</v>
      </c>
    </row>
    <row r="7">
      <c r="B7" s="26" t="s">
        <v>29</v>
      </c>
      <c r="C7" s="67" t="s">
        <v>216</v>
      </c>
      <c r="D7" s="29">
        <v>3.0</v>
      </c>
      <c r="E7" s="47">
        <f>Scenario!D40</f>
        <v>5250</v>
      </c>
      <c r="F7" s="47">
        <f>Scenario!E40</f>
        <v>7875</v>
      </c>
      <c r="G7" s="47">
        <f>Scenario!F40</f>
        <v>11550</v>
      </c>
      <c r="H7" s="41">
        <f>CHOOSE(Dashboard!$C$6,E7,F7,G7)</f>
        <v>7875</v>
      </c>
      <c r="I7" s="65">
        <v>0.5</v>
      </c>
      <c r="J7" s="32">
        <f t="shared" si="1"/>
        <v>23625</v>
      </c>
    </row>
    <row r="8">
      <c r="B8" s="26" t="s">
        <v>31</v>
      </c>
      <c r="C8" s="67" t="s">
        <v>217</v>
      </c>
      <c r="D8" s="29">
        <v>4.0</v>
      </c>
      <c r="E8" s="47">
        <f>Scenario!D41</f>
        <v>3500</v>
      </c>
      <c r="F8" s="47">
        <f>Scenario!E41</f>
        <v>5250</v>
      </c>
      <c r="G8" s="47">
        <f>Scenario!F41</f>
        <v>7700</v>
      </c>
      <c r="H8" s="41">
        <f>CHOOSE(Dashboard!$C$6,E8,F8,G8)</f>
        <v>5250</v>
      </c>
      <c r="I8" s="65">
        <v>0.45</v>
      </c>
      <c r="J8" s="32">
        <f t="shared" si="1"/>
        <v>15750</v>
      </c>
    </row>
    <row r="9">
      <c r="B9" s="20" t="s">
        <v>218</v>
      </c>
      <c r="C9" s="34"/>
      <c r="D9" s="34"/>
      <c r="E9" s="36">
        <f t="shared" ref="E9:H9" si="2">SUM(E5:E8)</f>
        <v>29750</v>
      </c>
      <c r="F9" s="36">
        <f t="shared" si="2"/>
        <v>44625</v>
      </c>
      <c r="G9" s="36">
        <f t="shared" si="2"/>
        <v>65450</v>
      </c>
      <c r="H9" s="36">
        <f t="shared" si="2"/>
        <v>44625</v>
      </c>
      <c r="I9" s="34"/>
      <c r="J9" s="36">
        <f>SUM(J5:J8)</f>
        <v>133875</v>
      </c>
    </row>
    <row r="11">
      <c r="B11" s="51" t="s">
        <v>219</v>
      </c>
      <c r="H11" s="66">
        <f>SUMPRODUCT(H5:H8,I5:I8)</f>
        <v>27037.5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8" width="13.0"/>
    <col customWidth="1" min="9" max="26" width="8.71"/>
  </cols>
  <sheetData>
    <row r="1">
      <c r="A1" s="1" t="s">
        <v>220</v>
      </c>
    </row>
    <row r="2">
      <c r="A2" s="2" t="s">
        <v>221</v>
      </c>
    </row>
    <row r="4">
      <c r="B4" s="7" t="s">
        <v>23</v>
      </c>
      <c r="C4" s="7" t="s">
        <v>222</v>
      </c>
      <c r="D4" s="7" t="s">
        <v>42</v>
      </c>
      <c r="E4" s="7" t="s">
        <v>4</v>
      </c>
      <c r="F4" s="7" t="s">
        <v>43</v>
      </c>
      <c r="G4" s="7" t="s">
        <v>106</v>
      </c>
      <c r="H4" s="7" t="s">
        <v>223</v>
      </c>
    </row>
    <row r="5">
      <c r="B5" s="26" t="s">
        <v>33</v>
      </c>
      <c r="C5" s="62">
        <v>250.0</v>
      </c>
      <c r="D5" s="47">
        <f>Scenario!D42</f>
        <v>2800</v>
      </c>
      <c r="E5" s="47">
        <f>Scenario!E42</f>
        <v>4200</v>
      </c>
      <c r="F5" s="47">
        <f>Scenario!F42</f>
        <v>6160</v>
      </c>
      <c r="G5" s="41">
        <f>CHOOSE(Dashboard!$C$6,D5,E5,F5)</f>
        <v>4200</v>
      </c>
      <c r="H5" s="68">
        <f t="shared" ref="H5:H7" si="1">ROUND(G5/C5,0)</f>
        <v>17</v>
      </c>
    </row>
    <row r="6">
      <c r="B6" s="26" t="s">
        <v>35</v>
      </c>
      <c r="C6" s="62">
        <v>400.0</v>
      </c>
      <c r="D6" s="47">
        <f>Scenario!D43</f>
        <v>1400</v>
      </c>
      <c r="E6" s="47">
        <f>Scenario!E43</f>
        <v>2100</v>
      </c>
      <c r="F6" s="47">
        <f>Scenario!F43</f>
        <v>3080</v>
      </c>
      <c r="G6" s="41">
        <f>CHOOSE(Dashboard!$C$6,D6,E6,F6)</f>
        <v>2100</v>
      </c>
      <c r="H6" s="68">
        <f t="shared" si="1"/>
        <v>5</v>
      </c>
    </row>
    <row r="7">
      <c r="B7" s="26" t="s">
        <v>37</v>
      </c>
      <c r="C7" s="62">
        <v>350.0</v>
      </c>
      <c r="D7" s="47">
        <f>Scenario!D44</f>
        <v>1050</v>
      </c>
      <c r="E7" s="47">
        <f>Scenario!E44</f>
        <v>1575</v>
      </c>
      <c r="F7" s="47">
        <f>Scenario!F44</f>
        <v>2310</v>
      </c>
      <c r="G7" s="41">
        <f>CHOOSE(Dashboard!$C$6,D7,E7,F7)</f>
        <v>1575</v>
      </c>
      <c r="H7" s="68">
        <f t="shared" si="1"/>
        <v>5</v>
      </c>
    </row>
    <row r="8">
      <c r="B8" s="20" t="s">
        <v>224</v>
      </c>
      <c r="C8" s="34"/>
      <c r="D8" s="36">
        <f t="shared" ref="D8:G8" si="2">SUM(D5:D7)</f>
        <v>5250</v>
      </c>
      <c r="E8" s="36">
        <f t="shared" si="2"/>
        <v>7875</v>
      </c>
      <c r="F8" s="36">
        <f t="shared" si="2"/>
        <v>11550</v>
      </c>
      <c r="G8" s="36">
        <f t="shared" si="2"/>
        <v>7875</v>
      </c>
      <c r="H8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2.0"/>
    <col customWidth="1" min="2" max="2" width="27.0"/>
    <col customWidth="1" min="3" max="3" width="9.0"/>
    <col customWidth="1" min="4" max="21" width="7.57"/>
    <col customWidth="1" min="22" max="22" width="11.0"/>
    <col customWidth="1" min="23" max="26" width="8.71"/>
  </cols>
  <sheetData>
    <row r="1">
      <c r="A1" s="1" t="s">
        <v>225</v>
      </c>
    </row>
    <row r="2">
      <c r="A2" s="2" t="s">
        <v>226</v>
      </c>
    </row>
    <row r="3">
      <c r="B3" s="59" t="s">
        <v>227</v>
      </c>
      <c r="C3" s="60">
        <f>MAX(C37:U37)</f>
        <v>2937.852495</v>
      </c>
    </row>
    <row r="5">
      <c r="B5" s="69" t="s">
        <v>228</v>
      </c>
      <c r="C5" s="70" t="s">
        <v>229</v>
      </c>
      <c r="D5" s="69" t="s">
        <v>230</v>
      </c>
      <c r="E5" s="69" t="s">
        <v>231</v>
      </c>
      <c r="F5" s="69" t="s">
        <v>232</v>
      </c>
      <c r="G5" s="69" t="s">
        <v>233</v>
      </c>
      <c r="H5" s="69" t="s">
        <v>234</v>
      </c>
      <c r="I5" s="69" t="s">
        <v>235</v>
      </c>
      <c r="J5" s="69" t="s">
        <v>236</v>
      </c>
      <c r="K5" s="69" t="s">
        <v>237</v>
      </c>
      <c r="L5" s="69" t="s">
        <v>238</v>
      </c>
      <c r="M5" s="69" t="s">
        <v>239</v>
      </c>
      <c r="N5" s="69" t="s">
        <v>240</v>
      </c>
      <c r="O5" s="69" t="s">
        <v>241</v>
      </c>
      <c r="P5" s="69" t="s">
        <v>242</v>
      </c>
      <c r="Q5" s="69" t="s">
        <v>243</v>
      </c>
      <c r="R5" s="69" t="s">
        <v>244</v>
      </c>
      <c r="S5" s="69" t="s">
        <v>245</v>
      </c>
      <c r="T5" s="69" t="s">
        <v>246</v>
      </c>
      <c r="U5" s="69" t="s">
        <v>247</v>
      </c>
      <c r="V5" s="69" t="s">
        <v>248</v>
      </c>
    </row>
    <row r="6">
      <c r="B6" s="71" t="s">
        <v>249</v>
      </c>
      <c r="C6" s="72" t="s">
        <v>250</v>
      </c>
      <c r="D6" s="72" t="s">
        <v>251</v>
      </c>
      <c r="E6" s="72" t="s">
        <v>252</v>
      </c>
      <c r="F6" s="72" t="s">
        <v>253</v>
      </c>
      <c r="G6" s="72" t="s">
        <v>254</v>
      </c>
      <c r="H6" s="72" t="s">
        <v>255</v>
      </c>
      <c r="I6" s="72" t="s">
        <v>256</v>
      </c>
      <c r="J6" s="72" t="s">
        <v>257</v>
      </c>
      <c r="K6" s="72" t="s">
        <v>258</v>
      </c>
      <c r="L6" s="72" t="s">
        <v>259</v>
      </c>
      <c r="M6" s="72" t="s">
        <v>260</v>
      </c>
      <c r="N6" s="72" t="s">
        <v>261</v>
      </c>
      <c r="O6" s="72" t="s">
        <v>262</v>
      </c>
      <c r="P6" s="72" t="s">
        <v>263</v>
      </c>
      <c r="Q6" s="72" t="s">
        <v>264</v>
      </c>
      <c r="R6" s="72" t="s">
        <v>265</v>
      </c>
      <c r="S6" s="72" t="s">
        <v>266</v>
      </c>
      <c r="T6" s="72" t="s">
        <v>267</v>
      </c>
      <c r="U6" s="72" t="s">
        <v>268</v>
      </c>
      <c r="V6" s="34"/>
    </row>
    <row r="8">
      <c r="B8" s="14" t="s">
        <v>269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73" t="s">
        <v>270</v>
      </c>
    </row>
    <row r="9">
      <c r="B9" s="37" t="s">
        <v>24</v>
      </c>
      <c r="C9" s="74" t="s">
        <v>271</v>
      </c>
      <c r="D9" s="75">
        <v>0.0</v>
      </c>
      <c r="E9" s="75">
        <v>0.0</v>
      </c>
      <c r="F9" s="75">
        <v>0.0</v>
      </c>
      <c r="G9" s="75">
        <v>0.0</v>
      </c>
      <c r="H9" s="75">
        <v>0.0</v>
      </c>
      <c r="I9" s="75">
        <v>0.06</v>
      </c>
      <c r="J9" s="75">
        <v>0.0</v>
      </c>
      <c r="K9" s="75">
        <v>0.0</v>
      </c>
      <c r="L9" s="75">
        <v>0.0</v>
      </c>
      <c r="M9" s="75">
        <v>0.0</v>
      </c>
      <c r="N9" s="75">
        <v>0.0</v>
      </c>
      <c r="O9" s="75">
        <v>0.06</v>
      </c>
      <c r="P9" s="75">
        <v>0.0</v>
      </c>
      <c r="Q9" s="75">
        <v>0.88</v>
      </c>
      <c r="R9" s="75">
        <v>0.0</v>
      </c>
      <c r="S9" s="75">
        <v>0.0</v>
      </c>
      <c r="T9" s="75">
        <v>0.0</v>
      </c>
      <c r="U9" s="75">
        <v>0.0</v>
      </c>
      <c r="V9" s="76">
        <f t="shared" ref="V9:V17" si="1">SUM(D9:U9)</f>
        <v>1</v>
      </c>
    </row>
    <row r="10">
      <c r="B10" s="37" t="s">
        <v>26</v>
      </c>
      <c r="C10" s="77">
        <v>0.0</v>
      </c>
      <c r="D10" s="75">
        <v>0.0</v>
      </c>
      <c r="E10" s="75">
        <v>0.0</v>
      </c>
      <c r="F10" s="75">
        <v>0.0</v>
      </c>
      <c r="G10" s="75">
        <v>0.0</v>
      </c>
      <c r="H10" s="75">
        <v>0.0</v>
      </c>
      <c r="I10" s="75">
        <v>0.0</v>
      </c>
      <c r="J10" s="75">
        <v>0.0</v>
      </c>
      <c r="K10" s="75">
        <v>0.0</v>
      </c>
      <c r="L10" s="75">
        <v>0.0</v>
      </c>
      <c r="M10" s="75">
        <v>0.05</v>
      </c>
      <c r="N10" s="75">
        <v>0.1</v>
      </c>
      <c r="O10" s="75">
        <v>0.15</v>
      </c>
      <c r="P10" s="75">
        <v>0.2</v>
      </c>
      <c r="Q10" s="75">
        <v>0.25</v>
      </c>
      <c r="R10" s="75">
        <v>0.25</v>
      </c>
      <c r="S10" s="75">
        <v>0.0</v>
      </c>
      <c r="T10" s="75">
        <v>0.0</v>
      </c>
      <c r="U10" s="75">
        <v>0.0</v>
      </c>
      <c r="V10" s="76">
        <f t="shared" si="1"/>
        <v>1</v>
      </c>
    </row>
    <row r="11">
      <c r="B11" s="37" t="s">
        <v>28</v>
      </c>
      <c r="C11" s="77">
        <v>0.0</v>
      </c>
      <c r="D11" s="75">
        <v>0.0</v>
      </c>
      <c r="E11" s="75">
        <v>0.0</v>
      </c>
      <c r="F11" s="75">
        <v>0.0</v>
      </c>
      <c r="G11" s="75">
        <v>0.0</v>
      </c>
      <c r="H11" s="75">
        <v>0.0</v>
      </c>
      <c r="I11" s="75">
        <v>0.0</v>
      </c>
      <c r="J11" s="75">
        <v>0.0</v>
      </c>
      <c r="K11" s="75">
        <v>0.0</v>
      </c>
      <c r="L11" s="75">
        <v>0.0</v>
      </c>
      <c r="M11" s="75">
        <v>0.0</v>
      </c>
      <c r="N11" s="75">
        <v>0.0</v>
      </c>
      <c r="O11" s="75">
        <v>0.1</v>
      </c>
      <c r="P11" s="75">
        <v>0.2</v>
      </c>
      <c r="Q11" s="75">
        <v>0.3</v>
      </c>
      <c r="R11" s="75">
        <v>0.4</v>
      </c>
      <c r="S11" s="75">
        <v>0.0</v>
      </c>
      <c r="T11" s="75">
        <v>0.0</v>
      </c>
      <c r="U11" s="75">
        <v>0.0</v>
      </c>
      <c r="V11" s="76">
        <f t="shared" si="1"/>
        <v>1</v>
      </c>
    </row>
    <row r="12">
      <c r="B12" s="37" t="s">
        <v>30</v>
      </c>
      <c r="C12" s="77">
        <v>0.0</v>
      </c>
      <c r="D12" s="75">
        <v>0.0</v>
      </c>
      <c r="E12" s="75">
        <v>0.0</v>
      </c>
      <c r="F12" s="75">
        <v>0.0</v>
      </c>
      <c r="G12" s="75">
        <v>0.0</v>
      </c>
      <c r="H12" s="75">
        <v>0.0</v>
      </c>
      <c r="I12" s="75">
        <v>0.0</v>
      </c>
      <c r="J12" s="75">
        <v>0.0</v>
      </c>
      <c r="K12" s="75">
        <v>0.0</v>
      </c>
      <c r="L12" s="75">
        <v>0.0</v>
      </c>
      <c r="M12" s="75">
        <v>0.0</v>
      </c>
      <c r="N12" s="75">
        <v>0.0</v>
      </c>
      <c r="O12" s="75">
        <v>0.08</v>
      </c>
      <c r="P12" s="75">
        <v>0.17</v>
      </c>
      <c r="Q12" s="75">
        <v>0.3</v>
      </c>
      <c r="R12" s="75">
        <v>0.45</v>
      </c>
      <c r="S12" s="75">
        <v>0.0</v>
      </c>
      <c r="T12" s="75">
        <v>0.0</v>
      </c>
      <c r="U12" s="75">
        <v>0.0</v>
      </c>
      <c r="V12" s="76">
        <f t="shared" si="1"/>
        <v>1</v>
      </c>
    </row>
    <row r="13">
      <c r="B13" s="37" t="s">
        <v>32</v>
      </c>
      <c r="C13" s="77">
        <v>0.0</v>
      </c>
      <c r="D13" s="75">
        <v>0.0</v>
      </c>
      <c r="E13" s="75">
        <v>0.0</v>
      </c>
      <c r="F13" s="75">
        <v>0.0</v>
      </c>
      <c r="G13" s="75">
        <v>0.0</v>
      </c>
      <c r="H13" s="75">
        <v>0.05</v>
      </c>
      <c r="I13" s="75">
        <v>0.0</v>
      </c>
      <c r="J13" s="75">
        <v>0.1</v>
      </c>
      <c r="K13" s="75">
        <v>0.0</v>
      </c>
      <c r="L13" s="75">
        <v>0.1</v>
      </c>
      <c r="M13" s="75">
        <v>0.0</v>
      </c>
      <c r="N13" s="75">
        <v>0.15</v>
      </c>
      <c r="O13" s="75">
        <v>0.15</v>
      </c>
      <c r="P13" s="75">
        <v>0.15</v>
      </c>
      <c r="Q13" s="75">
        <v>0.15</v>
      </c>
      <c r="R13" s="75">
        <v>0.15</v>
      </c>
      <c r="S13" s="75">
        <v>0.0</v>
      </c>
      <c r="T13" s="75">
        <v>0.0</v>
      </c>
      <c r="U13" s="75">
        <v>0.0</v>
      </c>
      <c r="V13" s="76">
        <f t="shared" si="1"/>
        <v>1</v>
      </c>
    </row>
    <row r="14">
      <c r="B14" s="37" t="s">
        <v>34</v>
      </c>
      <c r="C14" s="77">
        <v>0.0</v>
      </c>
      <c r="D14" s="75">
        <v>0.0</v>
      </c>
      <c r="E14" s="75">
        <v>0.0</v>
      </c>
      <c r="F14" s="75">
        <v>0.0</v>
      </c>
      <c r="G14" s="75">
        <v>0.0</v>
      </c>
      <c r="H14" s="75">
        <v>0.0</v>
      </c>
      <c r="I14" s="75">
        <v>0.0</v>
      </c>
      <c r="J14" s="75">
        <v>0.0</v>
      </c>
      <c r="K14" s="75">
        <v>0.0</v>
      </c>
      <c r="L14" s="75">
        <v>0.0</v>
      </c>
      <c r="M14" s="75">
        <v>0.0</v>
      </c>
      <c r="N14" s="75">
        <v>0.0</v>
      </c>
      <c r="O14" s="75">
        <v>0.0</v>
      </c>
      <c r="P14" s="75">
        <v>0.3</v>
      </c>
      <c r="Q14" s="75">
        <v>0.35</v>
      </c>
      <c r="R14" s="75">
        <v>0.35</v>
      </c>
      <c r="S14" s="75">
        <v>0.0</v>
      </c>
      <c r="T14" s="75">
        <v>0.0</v>
      </c>
      <c r="U14" s="75">
        <v>0.0</v>
      </c>
      <c r="V14" s="76">
        <f t="shared" si="1"/>
        <v>1</v>
      </c>
    </row>
    <row r="15">
      <c r="B15" s="37" t="s">
        <v>36</v>
      </c>
      <c r="C15" s="77">
        <v>0.0</v>
      </c>
      <c r="D15" s="75">
        <v>0.0</v>
      </c>
      <c r="E15" s="75">
        <v>0.0</v>
      </c>
      <c r="F15" s="75">
        <v>0.0</v>
      </c>
      <c r="G15" s="75">
        <v>0.0</v>
      </c>
      <c r="H15" s="75">
        <v>0.0</v>
      </c>
      <c r="I15" s="75">
        <v>0.0</v>
      </c>
      <c r="J15" s="75">
        <v>0.0</v>
      </c>
      <c r="K15" s="75">
        <v>0.0</v>
      </c>
      <c r="L15" s="75">
        <v>0.0</v>
      </c>
      <c r="M15" s="75">
        <v>0.0</v>
      </c>
      <c r="N15" s="75">
        <v>0.2</v>
      </c>
      <c r="O15" s="75">
        <v>0.0</v>
      </c>
      <c r="P15" s="75">
        <v>0.0</v>
      </c>
      <c r="Q15" s="75">
        <v>0.3</v>
      </c>
      <c r="R15" s="75">
        <v>0.5</v>
      </c>
      <c r="S15" s="75">
        <v>0.0</v>
      </c>
      <c r="T15" s="75">
        <v>0.0</v>
      </c>
      <c r="U15" s="75">
        <v>0.0</v>
      </c>
      <c r="V15" s="76">
        <f t="shared" si="1"/>
        <v>1</v>
      </c>
    </row>
    <row r="16">
      <c r="B16" s="37" t="s">
        <v>272</v>
      </c>
      <c r="C16" s="77">
        <v>0.0</v>
      </c>
      <c r="D16" s="75">
        <v>0.0</v>
      </c>
      <c r="E16" s="75">
        <v>0.0</v>
      </c>
      <c r="F16" s="75">
        <v>0.0</v>
      </c>
      <c r="G16" s="75">
        <v>0.0</v>
      </c>
      <c r="H16" s="75">
        <v>0.0</v>
      </c>
      <c r="I16" s="75">
        <v>0.06</v>
      </c>
      <c r="J16" s="75">
        <v>0.08</v>
      </c>
      <c r="K16" s="75">
        <v>0.08</v>
      </c>
      <c r="L16" s="75">
        <v>0.1</v>
      </c>
      <c r="M16" s="75">
        <v>0.1</v>
      </c>
      <c r="N16" s="75">
        <v>0.1</v>
      </c>
      <c r="O16" s="75">
        <v>0.1</v>
      </c>
      <c r="P16" s="75">
        <v>0.1</v>
      </c>
      <c r="Q16" s="75">
        <v>0.1</v>
      </c>
      <c r="R16" s="75">
        <v>0.1</v>
      </c>
      <c r="S16" s="75">
        <v>0.08</v>
      </c>
      <c r="T16" s="75">
        <v>0.0</v>
      </c>
      <c r="U16" s="75">
        <v>0.0</v>
      </c>
      <c r="V16" s="76">
        <f t="shared" si="1"/>
        <v>1</v>
      </c>
    </row>
    <row r="17">
      <c r="B17" s="37" t="s">
        <v>273</v>
      </c>
      <c r="C17" s="77">
        <v>0.0</v>
      </c>
      <c r="D17" s="75">
        <v>0.0</v>
      </c>
      <c r="E17" s="75">
        <v>0.0</v>
      </c>
      <c r="F17" s="75">
        <v>0.0</v>
      </c>
      <c r="G17" s="75">
        <v>0.0</v>
      </c>
      <c r="H17" s="75">
        <v>0.0</v>
      </c>
      <c r="I17" s="75">
        <v>0.0</v>
      </c>
      <c r="J17" s="75">
        <v>0.0</v>
      </c>
      <c r="K17" s="75">
        <v>0.0</v>
      </c>
      <c r="L17" s="75">
        <v>0.0</v>
      </c>
      <c r="M17" s="75">
        <v>0.0</v>
      </c>
      <c r="N17" s="75">
        <v>0.0</v>
      </c>
      <c r="O17" s="75">
        <v>0.1</v>
      </c>
      <c r="P17" s="75">
        <v>0.15</v>
      </c>
      <c r="Q17" s="75">
        <v>0.2</v>
      </c>
      <c r="R17" s="75">
        <v>0.35</v>
      </c>
      <c r="S17" s="75">
        <v>0.2</v>
      </c>
      <c r="T17" s="75">
        <v>0.0</v>
      </c>
      <c r="U17" s="75">
        <v>0.0</v>
      </c>
      <c r="V17" s="76">
        <f t="shared" si="1"/>
        <v>1</v>
      </c>
    </row>
    <row r="19">
      <c r="B19" s="14" t="s">
        <v>274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73" t="s">
        <v>275</v>
      </c>
    </row>
    <row r="20">
      <c r="B20" s="78" t="s">
        <v>276</v>
      </c>
    </row>
    <row r="21" ht="15.75" customHeight="1">
      <c r="B21" s="17" t="s">
        <v>277</v>
      </c>
      <c r="C21" s="79">
        <v>0.0</v>
      </c>
      <c r="D21" s="79">
        <f t="array" ref="D21">INDEX(Scenario!$D$46:$F$46,1,Dashboard!$C$6)*D16</f>
        <v>0</v>
      </c>
      <c r="E21" s="79">
        <f t="array" ref="E21">INDEX(Scenario!$D$46:$F$46,1,Dashboard!$C$6)*E16</f>
        <v>0</v>
      </c>
      <c r="F21" s="79">
        <f t="array" ref="F21">INDEX(Scenario!$D$46:$F$46,1,Dashboard!$C$6)*F16</f>
        <v>0</v>
      </c>
      <c r="G21" s="79">
        <f t="array" ref="G21">INDEX(Scenario!$D$46:$F$46,1,Dashboard!$C$6)*G16</f>
        <v>0</v>
      </c>
      <c r="H21" s="79">
        <f t="array" ref="H21">INDEX(Scenario!$D$46:$F$46,1,Dashboard!$C$6)*H16</f>
        <v>0</v>
      </c>
      <c r="I21" s="79">
        <f t="array" ref="I21">INDEX(Scenario!$D$46:$F$46,1,Dashboard!$C$6)*I16</f>
        <v>2677.5</v>
      </c>
      <c r="J21" s="79">
        <f t="array" ref="J21">INDEX(Scenario!$D$46:$F$46,1,Dashboard!$C$6)*J16</f>
        <v>3570</v>
      </c>
      <c r="K21" s="79">
        <f t="array" ref="K21">INDEX(Scenario!$D$46:$F$46,1,Dashboard!$C$6)*K16</f>
        <v>3570</v>
      </c>
      <c r="L21" s="79">
        <f t="array" ref="L21">INDEX(Scenario!$D$46:$F$46,1,Dashboard!$C$6)*L16</f>
        <v>4462.5</v>
      </c>
      <c r="M21" s="79">
        <f t="array" ref="M21">INDEX(Scenario!$D$46:$F$46,1,Dashboard!$C$6)*M16</f>
        <v>4462.5</v>
      </c>
      <c r="N21" s="79">
        <f t="array" ref="N21">INDEX(Scenario!$D$46:$F$46,1,Dashboard!$C$6)*N16</f>
        <v>4462.5</v>
      </c>
      <c r="O21" s="79">
        <f t="array" ref="O21">INDEX(Scenario!$D$46:$F$46,1,Dashboard!$C$6)*O16</f>
        <v>4462.5</v>
      </c>
      <c r="P21" s="79">
        <f t="array" ref="P21">INDEX(Scenario!$D$46:$F$46,1,Dashboard!$C$6)*P16</f>
        <v>4462.5</v>
      </c>
      <c r="Q21" s="79">
        <f t="array" ref="Q21">INDEX(Scenario!$D$46:$F$46,1,Dashboard!$C$6)*Q16</f>
        <v>4462.5</v>
      </c>
      <c r="R21" s="79">
        <f t="array" ref="R21">INDEX(Scenario!$D$46:$F$46,1,Dashboard!$C$6)*R16</f>
        <v>4462.5</v>
      </c>
      <c r="S21" s="79">
        <f t="array" ref="S21">INDEX(Scenario!$D$46:$F$46,1,Dashboard!$C$6)*S16</f>
        <v>3570</v>
      </c>
      <c r="T21" s="79">
        <f t="array" ref="T21">INDEX(Scenario!$D$46:$F$46,1,Dashboard!$C$6)*T16</f>
        <v>0</v>
      </c>
      <c r="U21" s="79">
        <f t="array" ref="U21">INDEX(Scenario!$D$46:$F$46,1,Dashboard!$C$6)*U16</f>
        <v>0</v>
      </c>
      <c r="V21" s="80">
        <f t="shared" ref="V21:V23" si="2">SUM(C21:U21)</f>
        <v>44625</v>
      </c>
    </row>
    <row r="22" ht="15.75" customHeight="1">
      <c r="B22" s="17" t="s">
        <v>278</v>
      </c>
      <c r="C22" s="79">
        <v>0.0</v>
      </c>
      <c r="D22" s="79">
        <f t="array" ref="D22">INDEX(Scenario!$D$47:$F$47,1,Dashboard!$C$6)*D17</f>
        <v>0</v>
      </c>
      <c r="E22" s="79">
        <f t="array" ref="E22">INDEX(Scenario!$D$47:$F$47,1,Dashboard!$C$6)*E17</f>
        <v>0</v>
      </c>
      <c r="F22" s="79">
        <f t="array" ref="F22">INDEX(Scenario!$D$47:$F$47,1,Dashboard!$C$6)*F17</f>
        <v>0</v>
      </c>
      <c r="G22" s="79">
        <f t="array" ref="G22">INDEX(Scenario!$D$47:$F$47,1,Dashboard!$C$6)*G17</f>
        <v>0</v>
      </c>
      <c r="H22" s="79">
        <f t="array" ref="H22">INDEX(Scenario!$D$47:$F$47,1,Dashboard!$C$6)*H17</f>
        <v>0</v>
      </c>
      <c r="I22" s="79">
        <f t="array" ref="I22">INDEX(Scenario!$D$47:$F$47,1,Dashboard!$C$6)*I17</f>
        <v>0</v>
      </c>
      <c r="J22" s="79">
        <f t="array" ref="J22">INDEX(Scenario!$D$47:$F$47,1,Dashboard!$C$6)*J17</f>
        <v>0</v>
      </c>
      <c r="K22" s="79">
        <f t="array" ref="K22">INDEX(Scenario!$D$47:$F$47,1,Dashboard!$C$6)*K17</f>
        <v>0</v>
      </c>
      <c r="L22" s="79">
        <f t="array" ref="L22">INDEX(Scenario!$D$47:$F$47,1,Dashboard!$C$6)*L17</f>
        <v>0</v>
      </c>
      <c r="M22" s="79">
        <f t="array" ref="M22">INDEX(Scenario!$D$47:$F$47,1,Dashboard!$C$6)*M17</f>
        <v>0</v>
      </c>
      <c r="N22" s="79">
        <f t="array" ref="N22">INDEX(Scenario!$D$47:$F$47,1,Dashboard!$C$6)*N17</f>
        <v>0</v>
      </c>
      <c r="O22" s="79">
        <f t="array" ref="O22">INDEX(Scenario!$D$47:$F$47,1,Dashboard!$C$6)*O17</f>
        <v>787.5</v>
      </c>
      <c r="P22" s="79">
        <f t="array" ref="P22">INDEX(Scenario!$D$47:$F$47,1,Dashboard!$C$6)*P17</f>
        <v>1181.25</v>
      </c>
      <c r="Q22" s="79">
        <f t="array" ref="Q22">INDEX(Scenario!$D$47:$F$47,1,Dashboard!$C$6)*Q17</f>
        <v>1575</v>
      </c>
      <c r="R22" s="79">
        <f t="array" ref="R22">INDEX(Scenario!$D$47:$F$47,1,Dashboard!$C$6)*R17</f>
        <v>2756.25</v>
      </c>
      <c r="S22" s="79">
        <f t="array" ref="S22">INDEX(Scenario!$D$47:$F$47,1,Dashboard!$C$6)*S17</f>
        <v>1575</v>
      </c>
      <c r="T22" s="79">
        <f t="array" ref="T22">INDEX(Scenario!$D$47:$F$47,1,Dashboard!$C$6)*T17</f>
        <v>0</v>
      </c>
      <c r="U22" s="79">
        <f t="array" ref="U22">INDEX(Scenario!$D$47:$F$47,1,Dashboard!$C$6)*U17</f>
        <v>0</v>
      </c>
      <c r="V22" s="80">
        <f t="shared" si="2"/>
        <v>7875</v>
      </c>
    </row>
    <row r="23" ht="15.75" customHeight="1">
      <c r="B23" s="20" t="s">
        <v>279</v>
      </c>
      <c r="C23" s="81">
        <f t="shared" ref="C23:U23" si="3">SUM(C21:C22)</f>
        <v>0</v>
      </c>
      <c r="D23" s="81">
        <f t="shared" si="3"/>
        <v>0</v>
      </c>
      <c r="E23" s="81">
        <f t="shared" si="3"/>
        <v>0</v>
      </c>
      <c r="F23" s="81">
        <f t="shared" si="3"/>
        <v>0</v>
      </c>
      <c r="G23" s="81">
        <f t="shared" si="3"/>
        <v>0</v>
      </c>
      <c r="H23" s="81">
        <f t="shared" si="3"/>
        <v>0</v>
      </c>
      <c r="I23" s="81">
        <f t="shared" si="3"/>
        <v>2677.5</v>
      </c>
      <c r="J23" s="81">
        <f t="shared" si="3"/>
        <v>3570</v>
      </c>
      <c r="K23" s="81">
        <f t="shared" si="3"/>
        <v>3570</v>
      </c>
      <c r="L23" s="81">
        <f t="shared" si="3"/>
        <v>4462.5</v>
      </c>
      <c r="M23" s="81">
        <f t="shared" si="3"/>
        <v>4462.5</v>
      </c>
      <c r="N23" s="81">
        <f t="shared" si="3"/>
        <v>4462.5</v>
      </c>
      <c r="O23" s="81">
        <f t="shared" si="3"/>
        <v>5250</v>
      </c>
      <c r="P23" s="81">
        <f t="shared" si="3"/>
        <v>5643.75</v>
      </c>
      <c r="Q23" s="81">
        <f t="shared" si="3"/>
        <v>6037.5</v>
      </c>
      <c r="R23" s="81">
        <f t="shared" si="3"/>
        <v>7218.75</v>
      </c>
      <c r="S23" s="81">
        <f t="shared" si="3"/>
        <v>5145</v>
      </c>
      <c r="T23" s="81">
        <f t="shared" si="3"/>
        <v>0</v>
      </c>
      <c r="U23" s="81">
        <f t="shared" si="3"/>
        <v>0</v>
      </c>
      <c r="V23" s="36">
        <f t="shared" si="2"/>
        <v>52500</v>
      </c>
    </row>
    <row r="24" ht="15.75" customHeight="1"/>
    <row r="25" ht="15.75" customHeight="1">
      <c r="B25" s="78" t="s">
        <v>280</v>
      </c>
    </row>
    <row r="26" ht="15.75" customHeight="1">
      <c r="B26" s="37" t="s">
        <v>24</v>
      </c>
      <c r="C26" s="82">
        <f>Scenario!$C$7</f>
        <v>2600</v>
      </c>
      <c r="D26" s="79">
        <f>(('Event Budget'!$G$6)-Scenario!$C$7)*D9</f>
        <v>0</v>
      </c>
      <c r="E26" s="79">
        <f>(('Event Budget'!$G$6)-Scenario!$C$7)*E9</f>
        <v>0</v>
      </c>
      <c r="F26" s="79">
        <f>(('Event Budget'!$G$6)-Scenario!$C$7)*F9</f>
        <v>0</v>
      </c>
      <c r="G26" s="79">
        <f>(('Event Budget'!$G$6)-Scenario!$C$7)*G9</f>
        <v>0</v>
      </c>
      <c r="H26" s="79">
        <f>(('Event Budget'!$G$6)-Scenario!$C$7)*H9</f>
        <v>0</v>
      </c>
      <c r="I26" s="79">
        <f>(('Event Budget'!$G$6)-Scenario!$C$7)*I9</f>
        <v>975</v>
      </c>
      <c r="J26" s="79">
        <f>(('Event Budget'!$G$6)-Scenario!$C$7)*J9</f>
        <v>0</v>
      </c>
      <c r="K26" s="79">
        <f>(('Event Budget'!$G$6)-Scenario!$C$7)*K9</f>
        <v>0</v>
      </c>
      <c r="L26" s="79">
        <f>(('Event Budget'!$G$6)-Scenario!$C$7)*L9</f>
        <v>0</v>
      </c>
      <c r="M26" s="79">
        <f>(('Event Budget'!$G$6)-Scenario!$C$7)*M9</f>
        <v>0</v>
      </c>
      <c r="N26" s="79">
        <f>(('Event Budget'!$G$6)-Scenario!$C$7)*N9</f>
        <v>0</v>
      </c>
      <c r="O26" s="79">
        <f>(('Event Budget'!$G$6)-Scenario!$C$7)*O9</f>
        <v>975</v>
      </c>
      <c r="P26" s="79">
        <f>(('Event Budget'!$G$6)-Scenario!$C$7)*P9</f>
        <v>0</v>
      </c>
      <c r="Q26" s="79">
        <f>(('Event Budget'!$G$6)-Scenario!$C$7)*Q9</f>
        <v>14300</v>
      </c>
      <c r="R26" s="79">
        <f>(('Event Budget'!$G$6)-Scenario!$C$7)*R9</f>
        <v>0</v>
      </c>
      <c r="S26" s="79">
        <f>(('Event Budget'!$G$6)-Scenario!$C$7)*S9</f>
        <v>0</v>
      </c>
      <c r="T26" s="79">
        <f>(('Event Budget'!$G$6)-Scenario!$C$7)*T9</f>
        <v>0</v>
      </c>
      <c r="U26" s="79">
        <f>(('Event Budget'!$G$6)-Scenario!$C$7)*U9</f>
        <v>0</v>
      </c>
      <c r="V26" s="80">
        <f t="shared" ref="V26:V33" si="4">SUM(C26:U26)</f>
        <v>18850</v>
      </c>
    </row>
    <row r="27" ht="15.75" customHeight="1">
      <c r="B27" s="37" t="s">
        <v>26</v>
      </c>
      <c r="C27" s="79">
        <v>0.0</v>
      </c>
      <c r="D27" s="79">
        <f>'Event Budget'!$G$7*D10</f>
        <v>0</v>
      </c>
      <c r="E27" s="79">
        <f>'Event Budget'!$G$7*E10</f>
        <v>0</v>
      </c>
      <c r="F27" s="79">
        <f>'Event Budget'!$G$7*F10</f>
        <v>0</v>
      </c>
      <c r="G27" s="79">
        <f>'Event Budget'!$G$7*G10</f>
        <v>0</v>
      </c>
      <c r="H27" s="79">
        <f>'Event Budget'!$G$7*H10</f>
        <v>0</v>
      </c>
      <c r="I27" s="79">
        <f>'Event Budget'!$G$7*I10</f>
        <v>0</v>
      </c>
      <c r="J27" s="79">
        <f>'Event Budget'!$G$7*J10</f>
        <v>0</v>
      </c>
      <c r="K27" s="79">
        <f>'Event Budget'!$G$7*K10</f>
        <v>0</v>
      </c>
      <c r="L27" s="79">
        <f>'Event Budget'!$G$7*L10</f>
        <v>0</v>
      </c>
      <c r="M27" s="79">
        <f>'Event Budget'!$G$7*M10</f>
        <v>506.7787419</v>
      </c>
      <c r="N27" s="79">
        <f>'Event Budget'!$G$7*N10</f>
        <v>1013.557484</v>
      </c>
      <c r="O27" s="79">
        <f>'Event Budget'!$G$7*O10</f>
        <v>1520.336226</v>
      </c>
      <c r="P27" s="79">
        <f>'Event Budget'!$G$7*P10</f>
        <v>2027.114967</v>
      </c>
      <c r="Q27" s="79">
        <f>'Event Budget'!$G$7*Q10</f>
        <v>2533.893709</v>
      </c>
      <c r="R27" s="79">
        <f>'Event Budget'!$G$7*R10</f>
        <v>2533.893709</v>
      </c>
      <c r="S27" s="79">
        <f>'Event Budget'!$G$7*S10</f>
        <v>0</v>
      </c>
      <c r="T27" s="79">
        <f>'Event Budget'!$G$7*T10</f>
        <v>0</v>
      </c>
      <c r="U27" s="79">
        <f>'Event Budget'!$G$7*U10</f>
        <v>0</v>
      </c>
      <c r="V27" s="80">
        <f t="shared" si="4"/>
        <v>10135.57484</v>
      </c>
    </row>
    <row r="28" ht="15.75" customHeight="1">
      <c r="B28" s="37" t="s">
        <v>28</v>
      </c>
      <c r="C28" s="79">
        <v>0.0</v>
      </c>
      <c r="D28" s="79">
        <f>'Event Budget'!$G$8*D11</f>
        <v>0</v>
      </c>
      <c r="E28" s="79">
        <f>'Event Budget'!$G$8*E11</f>
        <v>0</v>
      </c>
      <c r="F28" s="79">
        <f>'Event Budget'!$G$8*F11</f>
        <v>0</v>
      </c>
      <c r="G28" s="79">
        <f>'Event Budget'!$G$8*G11</f>
        <v>0</v>
      </c>
      <c r="H28" s="79">
        <f>'Event Budget'!$G$8*H11</f>
        <v>0</v>
      </c>
      <c r="I28" s="79">
        <f>'Event Budget'!$G$8*I11</f>
        <v>0</v>
      </c>
      <c r="J28" s="79">
        <f>'Event Budget'!$G$8*J11</f>
        <v>0</v>
      </c>
      <c r="K28" s="79">
        <f>'Event Budget'!$G$8*K11</f>
        <v>0</v>
      </c>
      <c r="L28" s="79">
        <f>'Event Budget'!$G$8*L11</f>
        <v>0</v>
      </c>
      <c r="M28" s="79">
        <f>'Event Budget'!$G$8*M11</f>
        <v>0</v>
      </c>
      <c r="N28" s="79">
        <f>'Event Budget'!$G$8*N11</f>
        <v>0</v>
      </c>
      <c r="O28" s="79">
        <f>'Event Budget'!$G$8*O11</f>
        <v>540.5639913</v>
      </c>
      <c r="P28" s="79">
        <f>'Event Budget'!$G$8*P11</f>
        <v>1081.127983</v>
      </c>
      <c r="Q28" s="79">
        <f>'Event Budget'!$G$8*Q11</f>
        <v>1621.691974</v>
      </c>
      <c r="R28" s="79">
        <f>'Event Budget'!$G$8*R11</f>
        <v>2162.255965</v>
      </c>
      <c r="S28" s="79">
        <f>'Event Budget'!$G$8*S11</f>
        <v>0</v>
      </c>
      <c r="T28" s="79">
        <f>'Event Budget'!$G$8*T11</f>
        <v>0</v>
      </c>
      <c r="U28" s="79">
        <f>'Event Budget'!$G$8*U11</f>
        <v>0</v>
      </c>
      <c r="V28" s="80">
        <f t="shared" si="4"/>
        <v>5405.639913</v>
      </c>
    </row>
    <row r="29" ht="15.75" customHeight="1">
      <c r="B29" s="37" t="s">
        <v>30</v>
      </c>
      <c r="C29" s="79">
        <v>0.0</v>
      </c>
      <c r="D29" s="79">
        <f>'Event Budget'!$G$9*D12</f>
        <v>0</v>
      </c>
      <c r="E29" s="79">
        <f>'Event Budget'!$G$9*E12</f>
        <v>0</v>
      </c>
      <c r="F29" s="79">
        <f>'Event Budget'!$G$9*F12</f>
        <v>0</v>
      </c>
      <c r="G29" s="79">
        <f>'Event Budget'!$G$9*G12</f>
        <v>0</v>
      </c>
      <c r="H29" s="79">
        <f>'Event Budget'!$G$9*H12</f>
        <v>0</v>
      </c>
      <c r="I29" s="79">
        <f>'Event Budget'!$G$9*I12</f>
        <v>0</v>
      </c>
      <c r="J29" s="79">
        <f>'Event Budget'!$G$9*J12</f>
        <v>0</v>
      </c>
      <c r="K29" s="79">
        <f>'Event Budget'!$G$9*K12</f>
        <v>0</v>
      </c>
      <c r="L29" s="79">
        <f>'Event Budget'!$G$9*L12</f>
        <v>0</v>
      </c>
      <c r="M29" s="79">
        <f>'Event Budget'!$G$9*M12</f>
        <v>0</v>
      </c>
      <c r="N29" s="79">
        <f>'Event Budget'!$G$9*N12</f>
        <v>0</v>
      </c>
      <c r="O29" s="79">
        <f>'Event Budget'!$G$9*O12</f>
        <v>270.2819957</v>
      </c>
      <c r="P29" s="79">
        <f>'Event Budget'!$G$9*P12</f>
        <v>574.3492408</v>
      </c>
      <c r="Q29" s="79">
        <f>'Event Budget'!$G$9*Q12</f>
        <v>1013.557484</v>
      </c>
      <c r="R29" s="79">
        <f>'Event Budget'!$G$9*R12</f>
        <v>1520.336226</v>
      </c>
      <c r="S29" s="79">
        <f>'Event Budget'!$G$9*S12</f>
        <v>0</v>
      </c>
      <c r="T29" s="79">
        <f>'Event Budget'!$G$9*T12</f>
        <v>0</v>
      </c>
      <c r="U29" s="79">
        <f>'Event Budget'!$G$9*U12</f>
        <v>0</v>
      </c>
      <c r="V29" s="80">
        <f t="shared" si="4"/>
        <v>3378.524946</v>
      </c>
    </row>
    <row r="30" ht="15.75" customHeight="1">
      <c r="B30" s="37" t="s">
        <v>32</v>
      </c>
      <c r="C30" s="79">
        <v>0.0</v>
      </c>
      <c r="D30" s="79">
        <f>'Event Budget'!$G$10*D13</f>
        <v>0</v>
      </c>
      <c r="E30" s="79">
        <f>'Event Budget'!$G$10*E13</f>
        <v>0</v>
      </c>
      <c r="F30" s="79">
        <f>'Event Budget'!$G$10*F13</f>
        <v>0</v>
      </c>
      <c r="G30" s="79">
        <f>'Event Budget'!$G$10*G13</f>
        <v>0</v>
      </c>
      <c r="H30" s="79">
        <f>'Event Budget'!$G$10*H13</f>
        <v>337.8524946</v>
      </c>
      <c r="I30" s="79">
        <f>'Event Budget'!$G$10*I13</f>
        <v>0</v>
      </c>
      <c r="J30" s="79">
        <f>'Event Budget'!$G$10*J13</f>
        <v>675.7049892</v>
      </c>
      <c r="K30" s="79">
        <f>'Event Budget'!$G$10*K13</f>
        <v>0</v>
      </c>
      <c r="L30" s="79">
        <f>'Event Budget'!$G$10*L13</f>
        <v>675.7049892</v>
      </c>
      <c r="M30" s="79">
        <f>'Event Budget'!$G$10*M13</f>
        <v>0</v>
      </c>
      <c r="N30" s="79">
        <f>'Event Budget'!$G$10*N13</f>
        <v>1013.557484</v>
      </c>
      <c r="O30" s="79">
        <f>'Event Budget'!$G$10*O13</f>
        <v>1013.557484</v>
      </c>
      <c r="P30" s="79">
        <f>'Event Budget'!$G$10*P13</f>
        <v>1013.557484</v>
      </c>
      <c r="Q30" s="79">
        <f>'Event Budget'!$G$10*Q13</f>
        <v>1013.557484</v>
      </c>
      <c r="R30" s="79">
        <f>'Event Budget'!$G$10*R13</f>
        <v>1013.557484</v>
      </c>
      <c r="S30" s="79">
        <f>'Event Budget'!$G$10*S13</f>
        <v>0</v>
      </c>
      <c r="T30" s="79">
        <f>'Event Budget'!$G$10*T13</f>
        <v>0</v>
      </c>
      <c r="U30" s="79">
        <f>'Event Budget'!$G$10*U13</f>
        <v>0</v>
      </c>
      <c r="V30" s="80">
        <f t="shared" si="4"/>
        <v>6757.049892</v>
      </c>
    </row>
    <row r="31" ht="15.75" customHeight="1">
      <c r="B31" s="37" t="s">
        <v>34</v>
      </c>
      <c r="C31" s="79">
        <v>0.0</v>
      </c>
      <c r="D31" s="79">
        <f>'Event Budget'!$G$11*D14</f>
        <v>0</v>
      </c>
      <c r="E31" s="79">
        <f>'Event Budget'!$G$11*E14</f>
        <v>0</v>
      </c>
      <c r="F31" s="79">
        <f>'Event Budget'!$G$11*F14</f>
        <v>0</v>
      </c>
      <c r="G31" s="79">
        <f>'Event Budget'!$G$11*G14</f>
        <v>0</v>
      </c>
      <c r="H31" s="79">
        <f>'Event Budget'!$G$11*H14</f>
        <v>0</v>
      </c>
      <c r="I31" s="79">
        <f>'Event Budget'!$G$11*I14</f>
        <v>0</v>
      </c>
      <c r="J31" s="79">
        <f>'Event Budget'!$G$11*J14</f>
        <v>0</v>
      </c>
      <c r="K31" s="79">
        <f>'Event Budget'!$G$11*K14</f>
        <v>0</v>
      </c>
      <c r="L31" s="79">
        <f>'Event Budget'!$G$11*L14</f>
        <v>0</v>
      </c>
      <c r="M31" s="79">
        <f>'Event Budget'!$G$11*M14</f>
        <v>0</v>
      </c>
      <c r="N31" s="79">
        <f>'Event Budget'!$G$11*N14</f>
        <v>0</v>
      </c>
      <c r="O31" s="79">
        <f>'Event Budget'!$G$11*O14</f>
        <v>0</v>
      </c>
      <c r="P31" s="79">
        <f>'Event Budget'!$G$11*P14</f>
        <v>1033.828633</v>
      </c>
      <c r="Q31" s="79">
        <f>'Event Budget'!$G$11*Q14</f>
        <v>1206.133406</v>
      </c>
      <c r="R31" s="79">
        <f>'Event Budget'!$G$11*R14</f>
        <v>1206.133406</v>
      </c>
      <c r="S31" s="79">
        <f>'Event Budget'!$G$11*S14</f>
        <v>0</v>
      </c>
      <c r="T31" s="79">
        <f>'Event Budget'!$G$11*T14</f>
        <v>0</v>
      </c>
      <c r="U31" s="79">
        <f>'Event Budget'!$G$11*U14</f>
        <v>0</v>
      </c>
      <c r="V31" s="80">
        <f t="shared" si="4"/>
        <v>3446.095445</v>
      </c>
    </row>
    <row r="32" ht="15.75" customHeight="1">
      <c r="B32" s="37" t="s">
        <v>36</v>
      </c>
      <c r="C32" s="79">
        <v>0.0</v>
      </c>
      <c r="D32" s="79">
        <f>'Event Budget'!$G$12*D15</f>
        <v>0</v>
      </c>
      <c r="E32" s="79">
        <f>'Event Budget'!$G$12*E15</f>
        <v>0</v>
      </c>
      <c r="F32" s="79">
        <f>'Event Budget'!$G$12*F15</f>
        <v>0</v>
      </c>
      <c r="G32" s="79">
        <f>'Event Budget'!$G$12*G15</f>
        <v>0</v>
      </c>
      <c r="H32" s="79">
        <f>'Event Budget'!$G$12*H15</f>
        <v>0</v>
      </c>
      <c r="I32" s="79">
        <f>'Event Budget'!$G$12*I15</f>
        <v>0</v>
      </c>
      <c r="J32" s="79">
        <f>'Event Budget'!$G$12*J15</f>
        <v>0</v>
      </c>
      <c r="K32" s="79">
        <f>'Event Budget'!$G$12*K15</f>
        <v>0</v>
      </c>
      <c r="L32" s="79">
        <f>'Event Budget'!$G$12*L15</f>
        <v>0</v>
      </c>
      <c r="M32" s="79">
        <f>'Event Budget'!$G$12*M15</f>
        <v>0</v>
      </c>
      <c r="N32" s="79">
        <f>'Event Budget'!$G$12*N15</f>
        <v>405.4229935</v>
      </c>
      <c r="O32" s="79">
        <f>'Event Budget'!$G$12*O15</f>
        <v>0</v>
      </c>
      <c r="P32" s="79">
        <f>'Event Budget'!$G$12*P15</f>
        <v>0</v>
      </c>
      <c r="Q32" s="79">
        <f>'Event Budget'!$G$12*Q15</f>
        <v>608.1344902</v>
      </c>
      <c r="R32" s="79">
        <f>'Event Budget'!$G$12*R15</f>
        <v>1013.557484</v>
      </c>
      <c r="S32" s="79">
        <f>'Event Budget'!$G$12*S15</f>
        <v>0</v>
      </c>
      <c r="T32" s="79">
        <f>'Event Budget'!$G$12*T15</f>
        <v>0</v>
      </c>
      <c r="U32" s="79">
        <f>'Event Budget'!$G$12*U15</f>
        <v>0</v>
      </c>
      <c r="V32" s="80">
        <f t="shared" si="4"/>
        <v>2027.114967</v>
      </c>
    </row>
    <row r="33" ht="15.75" customHeight="1">
      <c r="B33" s="20" t="s">
        <v>281</v>
      </c>
      <c r="C33" s="81">
        <f t="shared" ref="C33:U33" si="5">SUM(C26:C32)</f>
        <v>2600</v>
      </c>
      <c r="D33" s="81">
        <f t="shared" si="5"/>
        <v>0</v>
      </c>
      <c r="E33" s="81">
        <f t="shared" si="5"/>
        <v>0</v>
      </c>
      <c r="F33" s="81">
        <f t="shared" si="5"/>
        <v>0</v>
      </c>
      <c r="G33" s="81">
        <f t="shared" si="5"/>
        <v>0</v>
      </c>
      <c r="H33" s="81">
        <f t="shared" si="5"/>
        <v>337.8524946</v>
      </c>
      <c r="I33" s="81">
        <f t="shared" si="5"/>
        <v>975</v>
      </c>
      <c r="J33" s="81">
        <f t="shared" si="5"/>
        <v>675.7049892</v>
      </c>
      <c r="K33" s="81">
        <f t="shared" si="5"/>
        <v>0</v>
      </c>
      <c r="L33" s="81">
        <f t="shared" si="5"/>
        <v>675.7049892</v>
      </c>
      <c r="M33" s="81">
        <f t="shared" si="5"/>
        <v>506.7787419</v>
      </c>
      <c r="N33" s="81">
        <f t="shared" si="5"/>
        <v>2432.537961</v>
      </c>
      <c r="O33" s="81">
        <f t="shared" si="5"/>
        <v>4319.739696</v>
      </c>
      <c r="P33" s="81">
        <f t="shared" si="5"/>
        <v>5729.978308</v>
      </c>
      <c r="Q33" s="81">
        <f t="shared" si="5"/>
        <v>22296.96855</v>
      </c>
      <c r="R33" s="81">
        <f t="shared" si="5"/>
        <v>9449.734273</v>
      </c>
      <c r="S33" s="81">
        <f t="shared" si="5"/>
        <v>0</v>
      </c>
      <c r="T33" s="81">
        <f t="shared" si="5"/>
        <v>0</v>
      </c>
      <c r="U33" s="81">
        <f t="shared" si="5"/>
        <v>0</v>
      </c>
      <c r="V33" s="36">
        <f t="shared" si="4"/>
        <v>50000</v>
      </c>
    </row>
    <row r="34" ht="15.75" customHeight="1"/>
    <row r="35" ht="15.75" customHeight="1">
      <c r="B35" s="26" t="s">
        <v>282</v>
      </c>
      <c r="C35" s="83">
        <f t="shared" ref="C35:U35" si="6">C23-C33</f>
        <v>-2600</v>
      </c>
      <c r="D35" s="83">
        <f t="shared" si="6"/>
        <v>0</v>
      </c>
      <c r="E35" s="83">
        <f t="shared" si="6"/>
        <v>0</v>
      </c>
      <c r="F35" s="83">
        <f t="shared" si="6"/>
        <v>0</v>
      </c>
      <c r="G35" s="83">
        <f t="shared" si="6"/>
        <v>0</v>
      </c>
      <c r="H35" s="83">
        <f t="shared" si="6"/>
        <v>-337.8524946</v>
      </c>
      <c r="I35" s="83">
        <f t="shared" si="6"/>
        <v>1702.5</v>
      </c>
      <c r="J35" s="83">
        <f t="shared" si="6"/>
        <v>2894.295011</v>
      </c>
      <c r="K35" s="83">
        <f t="shared" si="6"/>
        <v>3570</v>
      </c>
      <c r="L35" s="83">
        <f t="shared" si="6"/>
        <v>3786.795011</v>
      </c>
      <c r="M35" s="83">
        <f t="shared" si="6"/>
        <v>3955.721258</v>
      </c>
      <c r="N35" s="83">
        <f t="shared" si="6"/>
        <v>2029.962039</v>
      </c>
      <c r="O35" s="83">
        <f t="shared" si="6"/>
        <v>930.2603037</v>
      </c>
      <c r="P35" s="83">
        <f t="shared" si="6"/>
        <v>-86.22830803</v>
      </c>
      <c r="Q35" s="83">
        <f t="shared" si="6"/>
        <v>-16259.46855</v>
      </c>
      <c r="R35" s="83">
        <f t="shared" si="6"/>
        <v>-2230.984273</v>
      </c>
      <c r="S35" s="83">
        <f t="shared" si="6"/>
        <v>5145</v>
      </c>
      <c r="T35" s="83">
        <f t="shared" si="6"/>
        <v>0</v>
      </c>
      <c r="U35" s="83">
        <f t="shared" si="6"/>
        <v>0</v>
      </c>
      <c r="V35" s="80">
        <f>SUM(C35:U35)</f>
        <v>2500</v>
      </c>
    </row>
    <row r="36" ht="15.75" customHeight="1">
      <c r="B36" s="17" t="s">
        <v>283</v>
      </c>
      <c r="C36" s="79">
        <f>C35</f>
        <v>-2600</v>
      </c>
      <c r="D36" s="79">
        <f t="shared" ref="D36:U36" si="7">C36+D35</f>
        <v>-2600</v>
      </c>
      <c r="E36" s="79">
        <f t="shared" si="7"/>
        <v>-2600</v>
      </c>
      <c r="F36" s="79">
        <f t="shared" si="7"/>
        <v>-2600</v>
      </c>
      <c r="G36" s="79">
        <f t="shared" si="7"/>
        <v>-2600</v>
      </c>
      <c r="H36" s="79">
        <f t="shared" si="7"/>
        <v>-2937.852495</v>
      </c>
      <c r="I36" s="79">
        <f t="shared" si="7"/>
        <v>-1235.352495</v>
      </c>
      <c r="J36" s="79">
        <f t="shared" si="7"/>
        <v>1658.942516</v>
      </c>
      <c r="K36" s="79">
        <f t="shared" si="7"/>
        <v>5228.942516</v>
      </c>
      <c r="L36" s="79">
        <f t="shared" si="7"/>
        <v>9015.737527</v>
      </c>
      <c r="M36" s="79">
        <f t="shared" si="7"/>
        <v>12971.45879</v>
      </c>
      <c r="N36" s="79">
        <f t="shared" si="7"/>
        <v>15001.42082</v>
      </c>
      <c r="O36" s="79">
        <f t="shared" si="7"/>
        <v>15931.68113</v>
      </c>
      <c r="P36" s="79">
        <f t="shared" si="7"/>
        <v>15845.45282</v>
      </c>
      <c r="Q36" s="79">
        <f t="shared" si="7"/>
        <v>-414.0157267</v>
      </c>
      <c r="R36" s="79">
        <f t="shared" si="7"/>
        <v>-2645</v>
      </c>
      <c r="S36" s="79">
        <f t="shared" si="7"/>
        <v>2500</v>
      </c>
      <c r="T36" s="79">
        <f t="shared" si="7"/>
        <v>2500</v>
      </c>
      <c r="U36" s="79">
        <f t="shared" si="7"/>
        <v>2500</v>
      </c>
    </row>
    <row r="37" ht="15.75" customHeight="1">
      <c r="B37" s="17" t="s">
        <v>284</v>
      </c>
      <c r="C37" s="84">
        <f t="shared" ref="C37:U37" si="8">MAX(0,-C36)</f>
        <v>2600</v>
      </c>
      <c r="D37" s="84">
        <f t="shared" si="8"/>
        <v>2600</v>
      </c>
      <c r="E37" s="84">
        <f t="shared" si="8"/>
        <v>2600</v>
      </c>
      <c r="F37" s="84">
        <f t="shared" si="8"/>
        <v>2600</v>
      </c>
      <c r="G37" s="84">
        <f t="shared" si="8"/>
        <v>2600</v>
      </c>
      <c r="H37" s="84">
        <f t="shared" si="8"/>
        <v>2937.852495</v>
      </c>
      <c r="I37" s="84">
        <f t="shared" si="8"/>
        <v>1235.352495</v>
      </c>
      <c r="J37" s="84">
        <f t="shared" si="8"/>
        <v>0</v>
      </c>
      <c r="K37" s="84">
        <f t="shared" si="8"/>
        <v>0</v>
      </c>
      <c r="L37" s="84">
        <f t="shared" si="8"/>
        <v>0</v>
      </c>
      <c r="M37" s="84">
        <f t="shared" si="8"/>
        <v>0</v>
      </c>
      <c r="N37" s="84">
        <f t="shared" si="8"/>
        <v>0</v>
      </c>
      <c r="O37" s="84">
        <f t="shared" si="8"/>
        <v>0</v>
      </c>
      <c r="P37" s="84">
        <f t="shared" si="8"/>
        <v>0</v>
      </c>
      <c r="Q37" s="84">
        <f t="shared" si="8"/>
        <v>414.0157267</v>
      </c>
      <c r="R37" s="84">
        <f t="shared" si="8"/>
        <v>2645</v>
      </c>
      <c r="S37" s="84">
        <f t="shared" si="8"/>
        <v>0</v>
      </c>
      <c r="T37" s="84">
        <f t="shared" si="8"/>
        <v>0</v>
      </c>
      <c r="U37" s="84">
        <f t="shared" si="8"/>
        <v>0</v>
      </c>
    </row>
    <row r="38" ht="15.75" customHeight="1">
      <c r="B38" s="17" t="s">
        <v>285</v>
      </c>
      <c r="C38" s="84">
        <f>C37</f>
        <v>2600</v>
      </c>
      <c r="D38" s="84">
        <f t="shared" ref="D38:U38" si="9">MAX(0,D37-C37)</f>
        <v>0</v>
      </c>
      <c r="E38" s="84">
        <f t="shared" si="9"/>
        <v>0</v>
      </c>
      <c r="F38" s="84">
        <f t="shared" si="9"/>
        <v>0</v>
      </c>
      <c r="G38" s="84">
        <f t="shared" si="9"/>
        <v>0</v>
      </c>
      <c r="H38" s="84">
        <f t="shared" si="9"/>
        <v>337.8524946</v>
      </c>
      <c r="I38" s="84">
        <f t="shared" si="9"/>
        <v>0</v>
      </c>
      <c r="J38" s="84">
        <f t="shared" si="9"/>
        <v>0</v>
      </c>
      <c r="K38" s="84">
        <f t="shared" si="9"/>
        <v>0</v>
      </c>
      <c r="L38" s="84">
        <f t="shared" si="9"/>
        <v>0</v>
      </c>
      <c r="M38" s="84">
        <f t="shared" si="9"/>
        <v>0</v>
      </c>
      <c r="N38" s="84">
        <f t="shared" si="9"/>
        <v>0</v>
      </c>
      <c r="O38" s="84">
        <f t="shared" si="9"/>
        <v>0</v>
      </c>
      <c r="P38" s="84">
        <f t="shared" si="9"/>
        <v>0</v>
      </c>
      <c r="Q38" s="84">
        <f t="shared" si="9"/>
        <v>414.0157267</v>
      </c>
      <c r="R38" s="84">
        <f t="shared" si="9"/>
        <v>2230.984273</v>
      </c>
      <c r="S38" s="84">
        <f t="shared" si="9"/>
        <v>0</v>
      </c>
      <c r="T38" s="84">
        <f t="shared" si="9"/>
        <v>0</v>
      </c>
      <c r="U38" s="84">
        <f t="shared" si="9"/>
        <v>0</v>
      </c>
    </row>
    <row r="39" ht="15.75" customHeight="1">
      <c r="B39" s="20" t="s">
        <v>286</v>
      </c>
      <c r="C39" s="81">
        <f t="shared" ref="C39:U39" si="10">C36+C37</f>
        <v>0</v>
      </c>
      <c r="D39" s="81">
        <f t="shared" si="10"/>
        <v>0</v>
      </c>
      <c r="E39" s="81">
        <f t="shared" si="10"/>
        <v>0</v>
      </c>
      <c r="F39" s="81">
        <f t="shared" si="10"/>
        <v>0</v>
      </c>
      <c r="G39" s="81">
        <f t="shared" si="10"/>
        <v>0</v>
      </c>
      <c r="H39" s="81">
        <f t="shared" si="10"/>
        <v>0</v>
      </c>
      <c r="I39" s="81">
        <f t="shared" si="10"/>
        <v>0</v>
      </c>
      <c r="J39" s="81">
        <f t="shared" si="10"/>
        <v>1658.942516</v>
      </c>
      <c r="K39" s="81">
        <f t="shared" si="10"/>
        <v>5228.942516</v>
      </c>
      <c r="L39" s="81">
        <f t="shared" si="10"/>
        <v>9015.737527</v>
      </c>
      <c r="M39" s="81">
        <f t="shared" si="10"/>
        <v>12971.45879</v>
      </c>
      <c r="N39" s="81">
        <f t="shared" si="10"/>
        <v>15001.42082</v>
      </c>
      <c r="O39" s="81">
        <f t="shared" si="10"/>
        <v>15931.68113</v>
      </c>
      <c r="P39" s="81">
        <f t="shared" si="10"/>
        <v>15845.45282</v>
      </c>
      <c r="Q39" s="81">
        <f t="shared" si="10"/>
        <v>0</v>
      </c>
      <c r="R39" s="81">
        <f t="shared" si="10"/>
        <v>0</v>
      </c>
      <c r="S39" s="81">
        <f t="shared" si="10"/>
        <v>2500</v>
      </c>
      <c r="T39" s="81">
        <f t="shared" si="10"/>
        <v>2500</v>
      </c>
      <c r="U39" s="81">
        <f t="shared" si="10"/>
        <v>2500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6.0"/>
    <col customWidth="1" min="3" max="6" width="15.0"/>
    <col customWidth="1" min="7" max="26" width="8.71"/>
  </cols>
  <sheetData>
    <row r="1">
      <c r="A1" s="1" t="s">
        <v>287</v>
      </c>
    </row>
    <row r="2">
      <c r="A2" s="2" t="s">
        <v>288</v>
      </c>
    </row>
    <row r="4">
      <c r="B4" s="14" t="s">
        <v>289</v>
      </c>
      <c r="C4" s="15"/>
      <c r="D4" s="15"/>
    </row>
    <row r="5">
      <c r="B5" s="17" t="s">
        <v>51</v>
      </c>
      <c r="C5" s="38">
        <v>26000.0</v>
      </c>
    </row>
    <row r="6">
      <c r="B6" s="17" t="s">
        <v>290</v>
      </c>
      <c r="C6" s="30">
        <v>100000.0</v>
      </c>
    </row>
    <row r="7">
      <c r="B7" s="17" t="s">
        <v>291</v>
      </c>
      <c r="C7" s="80">
        <f>C5*C6/1000000</f>
        <v>2600</v>
      </c>
    </row>
    <row r="8">
      <c r="B8" s="17" t="s">
        <v>292</v>
      </c>
      <c r="C8" s="67" t="s">
        <v>293</v>
      </c>
    </row>
    <row r="9">
      <c r="B9" s="17" t="s">
        <v>294</v>
      </c>
      <c r="C9" s="85">
        <f>'Reference Cost'!$I$11</f>
        <v>18850</v>
      </c>
    </row>
    <row r="11">
      <c r="B11" s="14" t="s">
        <v>295</v>
      </c>
      <c r="C11" s="15"/>
      <c r="D11" s="15"/>
      <c r="E11" s="15"/>
      <c r="F11" s="15"/>
    </row>
    <row r="12">
      <c r="B12" s="7" t="s">
        <v>41</v>
      </c>
      <c r="C12" s="7" t="s">
        <v>296</v>
      </c>
      <c r="D12" s="7" t="s">
        <v>42</v>
      </c>
      <c r="E12" s="7" t="s">
        <v>4</v>
      </c>
      <c r="F12" s="7" t="s">
        <v>43</v>
      </c>
    </row>
    <row r="13">
      <c r="B13" s="26" t="s">
        <v>297</v>
      </c>
      <c r="D13" s="86">
        <v>35000.0</v>
      </c>
      <c r="E13" s="86">
        <v>50000.0</v>
      </c>
      <c r="F13" s="86">
        <v>70000.0</v>
      </c>
    </row>
    <row r="14">
      <c r="B14" s="17" t="s">
        <v>298</v>
      </c>
      <c r="D14" s="87">
        <v>1.0</v>
      </c>
      <c r="E14" s="87">
        <v>1.05</v>
      </c>
      <c r="F14" s="87">
        <v>1.1</v>
      </c>
    </row>
    <row r="15">
      <c r="B15" s="20" t="s">
        <v>299</v>
      </c>
      <c r="D15" s="36">
        <f t="shared" ref="D15:F15" si="1">D13*D14</f>
        <v>35000</v>
      </c>
      <c r="E15" s="36">
        <f t="shared" si="1"/>
        <v>52500</v>
      </c>
      <c r="F15" s="36">
        <f t="shared" si="1"/>
        <v>77000</v>
      </c>
    </row>
    <row r="17">
      <c r="B17" s="14" t="s">
        <v>300</v>
      </c>
      <c r="C17" s="15"/>
      <c r="D17" s="15"/>
      <c r="E17" s="15"/>
      <c r="F17" s="15"/>
    </row>
    <row r="18">
      <c r="B18" s="20" t="s">
        <v>20</v>
      </c>
      <c r="C18" s="88" t="s">
        <v>105</v>
      </c>
      <c r="D18" s="89" t="s">
        <v>42</v>
      </c>
      <c r="E18" s="89" t="s">
        <v>4</v>
      </c>
      <c r="F18" s="89" t="s">
        <v>43</v>
      </c>
    </row>
    <row r="19">
      <c r="B19" s="26" t="s">
        <v>24</v>
      </c>
      <c r="C19" s="74" t="s">
        <v>301</v>
      </c>
      <c r="D19" s="47">
        <f t="shared" ref="D19:F19" si="2">$C$9</f>
        <v>18850</v>
      </c>
      <c r="E19" s="47">
        <f t="shared" si="2"/>
        <v>18850</v>
      </c>
      <c r="F19" s="47">
        <f t="shared" si="2"/>
        <v>18850</v>
      </c>
    </row>
    <row r="20">
      <c r="B20" s="17" t="s">
        <v>26</v>
      </c>
      <c r="C20" s="55">
        <v>0.15</v>
      </c>
      <c r="D20" s="32">
        <f t="shared" ref="D20:D25" si="3">(D$13-$C$9)*C20/SUM($C$20:$C$25)</f>
        <v>5254.880694</v>
      </c>
      <c r="E20" s="32">
        <f t="shared" ref="E20:E25" si="4">(E$13-$C$9)*C20/SUM($C$20:$C$25)</f>
        <v>10135.57484</v>
      </c>
      <c r="F20" s="32">
        <f t="shared" ref="F20:F25" si="5">(F$13-$C$9)*C20/SUM($C$20:$C$25)</f>
        <v>16643.16703</v>
      </c>
    </row>
    <row r="21" ht="15.75" customHeight="1">
      <c r="B21" s="17" t="s">
        <v>28</v>
      </c>
      <c r="C21" s="55">
        <v>0.08</v>
      </c>
      <c r="D21" s="32">
        <f t="shared" si="3"/>
        <v>2802.603037</v>
      </c>
      <c r="E21" s="32">
        <f t="shared" si="4"/>
        <v>5405.639913</v>
      </c>
      <c r="F21" s="32">
        <f t="shared" si="5"/>
        <v>8876.355748</v>
      </c>
    </row>
    <row r="22" ht="15.75" customHeight="1">
      <c r="B22" s="17" t="s">
        <v>30</v>
      </c>
      <c r="C22" s="55">
        <v>0.05</v>
      </c>
      <c r="D22" s="32">
        <f t="shared" si="3"/>
        <v>1751.626898</v>
      </c>
      <c r="E22" s="32">
        <f t="shared" si="4"/>
        <v>3378.524946</v>
      </c>
      <c r="F22" s="32">
        <f t="shared" si="5"/>
        <v>5547.722343</v>
      </c>
    </row>
    <row r="23" ht="15.75" customHeight="1">
      <c r="B23" s="17" t="s">
        <v>32</v>
      </c>
      <c r="C23" s="55">
        <v>0.1</v>
      </c>
      <c r="D23" s="32">
        <f t="shared" si="3"/>
        <v>3503.253796</v>
      </c>
      <c r="E23" s="32">
        <f t="shared" si="4"/>
        <v>6757.049892</v>
      </c>
      <c r="F23" s="32">
        <f t="shared" si="5"/>
        <v>11095.44469</v>
      </c>
    </row>
    <row r="24" ht="15.75" customHeight="1">
      <c r="B24" s="17" t="s">
        <v>34</v>
      </c>
      <c r="C24" s="55">
        <v>0.051</v>
      </c>
      <c r="D24" s="32">
        <f t="shared" si="3"/>
        <v>1786.659436</v>
      </c>
      <c r="E24" s="32">
        <f t="shared" si="4"/>
        <v>3446.095445</v>
      </c>
      <c r="F24" s="32">
        <f t="shared" si="5"/>
        <v>5658.67679</v>
      </c>
    </row>
    <row r="25" ht="15.75" customHeight="1">
      <c r="B25" s="17" t="s">
        <v>36</v>
      </c>
      <c r="C25" s="55">
        <v>0.03</v>
      </c>
      <c r="D25" s="32">
        <f t="shared" si="3"/>
        <v>1050.976139</v>
      </c>
      <c r="E25" s="32">
        <f t="shared" si="4"/>
        <v>2027.114967</v>
      </c>
      <c r="F25" s="32">
        <f t="shared" si="5"/>
        <v>3328.633406</v>
      </c>
    </row>
    <row r="26" ht="15.75" customHeight="1">
      <c r="B26" s="20" t="s">
        <v>302</v>
      </c>
      <c r="C26" s="34"/>
      <c r="D26" s="36">
        <f t="shared" ref="D26:F26" si="6">SUM(D19:D25)</f>
        <v>35000</v>
      </c>
      <c r="E26" s="36">
        <f t="shared" si="6"/>
        <v>50000</v>
      </c>
      <c r="F26" s="36">
        <f t="shared" si="6"/>
        <v>70000</v>
      </c>
    </row>
    <row r="27" ht="15.75" customHeight="1">
      <c r="B27" s="90" t="s">
        <v>303</v>
      </c>
      <c r="D27" s="91">
        <f>C7</f>
        <v>2600</v>
      </c>
    </row>
    <row r="28" ht="15.75" customHeight="1">
      <c r="B28" s="90" t="s">
        <v>304</v>
      </c>
      <c r="D28" s="91">
        <f>D19-C7</f>
        <v>16250</v>
      </c>
    </row>
    <row r="29" ht="15.75" customHeight="1"/>
    <row r="30" ht="15.75" customHeight="1">
      <c r="B30" s="14" t="s">
        <v>305</v>
      </c>
      <c r="C30" s="15"/>
      <c r="D30" s="15"/>
      <c r="E30" s="15"/>
      <c r="F30" s="15"/>
    </row>
    <row r="31" ht="15.75" customHeight="1">
      <c r="B31" s="26" t="s">
        <v>306</v>
      </c>
      <c r="D31" s="42">
        <f t="shared" ref="D31:F31" si="7">D15-D26</f>
        <v>0</v>
      </c>
      <c r="E31" s="42">
        <f t="shared" si="7"/>
        <v>2500</v>
      </c>
      <c r="F31" s="42">
        <f t="shared" si="7"/>
        <v>7000</v>
      </c>
    </row>
    <row r="32" ht="15.75" customHeight="1">
      <c r="B32" s="17" t="s">
        <v>307</v>
      </c>
      <c r="D32" s="19">
        <f t="shared" ref="D32:F32" si="8">D31/D15</f>
        <v>0</v>
      </c>
      <c r="E32" s="19">
        <f t="shared" si="8"/>
        <v>0.04761904762</v>
      </c>
      <c r="F32" s="19">
        <f t="shared" si="8"/>
        <v>0.09090909091</v>
      </c>
    </row>
    <row r="33" ht="15.75" customHeight="1">
      <c r="B33" s="17" t="s">
        <v>308</v>
      </c>
      <c r="D33" s="19">
        <f t="shared" ref="D33:F33" si="9">D15/D26</f>
        <v>1</v>
      </c>
      <c r="E33" s="19">
        <f t="shared" si="9"/>
        <v>1.05</v>
      </c>
      <c r="F33" s="19">
        <f t="shared" si="9"/>
        <v>1.1</v>
      </c>
    </row>
    <row r="34" ht="15.75" customHeight="1">
      <c r="B34" s="17" t="s">
        <v>309</v>
      </c>
      <c r="D34" s="19">
        <f t="shared" ref="D34:F34" si="10">D31/D26</f>
        <v>0</v>
      </c>
      <c r="E34" s="19">
        <f t="shared" si="10"/>
        <v>0.05</v>
      </c>
      <c r="F34" s="19">
        <f t="shared" si="10"/>
        <v>0.1</v>
      </c>
    </row>
    <row r="35" ht="15.75" customHeight="1"/>
    <row r="36" ht="15.75" customHeight="1">
      <c r="B36" s="14" t="s">
        <v>310</v>
      </c>
      <c r="C36" s="15"/>
      <c r="D36" s="15"/>
      <c r="E36" s="15"/>
      <c r="F36" s="15"/>
    </row>
    <row r="37" ht="15.75" customHeight="1">
      <c r="B37" s="20" t="s">
        <v>23</v>
      </c>
      <c r="C37" s="88" t="s">
        <v>311</v>
      </c>
      <c r="D37" s="89" t="s">
        <v>42</v>
      </c>
      <c r="E37" s="89" t="s">
        <v>4</v>
      </c>
      <c r="F37" s="89" t="s">
        <v>43</v>
      </c>
    </row>
    <row r="38" ht="15.75" customHeight="1">
      <c r="B38" s="17" t="s">
        <v>25</v>
      </c>
      <c r="C38" s="55">
        <v>0.35</v>
      </c>
      <c r="D38" s="32">
        <f t="shared" ref="D38:F38" si="11">D$15*$C38</f>
        <v>12250</v>
      </c>
      <c r="E38" s="32">
        <f t="shared" si="11"/>
        <v>18375</v>
      </c>
      <c r="F38" s="32">
        <f t="shared" si="11"/>
        <v>26950</v>
      </c>
    </row>
    <row r="39" ht="15.75" customHeight="1">
      <c r="B39" s="17" t="s">
        <v>27</v>
      </c>
      <c r="C39" s="55">
        <v>0.25</v>
      </c>
      <c r="D39" s="32">
        <f t="shared" ref="D39:F39" si="12">D$15*$C39</f>
        <v>8750</v>
      </c>
      <c r="E39" s="32">
        <f t="shared" si="12"/>
        <v>13125</v>
      </c>
      <c r="F39" s="32">
        <f t="shared" si="12"/>
        <v>19250</v>
      </c>
    </row>
    <row r="40" ht="15.75" customHeight="1">
      <c r="B40" s="17" t="s">
        <v>29</v>
      </c>
      <c r="C40" s="55">
        <v>0.15</v>
      </c>
      <c r="D40" s="32">
        <f t="shared" ref="D40:F40" si="13">D$15*$C40</f>
        <v>5250</v>
      </c>
      <c r="E40" s="32">
        <f t="shared" si="13"/>
        <v>7875</v>
      </c>
      <c r="F40" s="32">
        <f t="shared" si="13"/>
        <v>11550</v>
      </c>
    </row>
    <row r="41" ht="15.75" customHeight="1">
      <c r="B41" s="17" t="s">
        <v>31</v>
      </c>
      <c r="C41" s="55">
        <v>0.1</v>
      </c>
      <c r="D41" s="32">
        <f t="shared" ref="D41:F41" si="14">D$15*$C41</f>
        <v>3500</v>
      </c>
      <c r="E41" s="32">
        <f t="shared" si="14"/>
        <v>5250</v>
      </c>
      <c r="F41" s="32">
        <f t="shared" si="14"/>
        <v>7700</v>
      </c>
    </row>
    <row r="42" ht="15.75" customHeight="1">
      <c r="B42" s="17" t="s">
        <v>33</v>
      </c>
      <c r="C42" s="55">
        <v>0.08</v>
      </c>
      <c r="D42" s="32">
        <f t="shared" ref="D42:F42" si="15">D$15*$C42</f>
        <v>2800</v>
      </c>
      <c r="E42" s="32">
        <f t="shared" si="15"/>
        <v>4200</v>
      </c>
      <c r="F42" s="32">
        <f t="shared" si="15"/>
        <v>6160</v>
      </c>
    </row>
    <row r="43" ht="15.75" customHeight="1">
      <c r="B43" s="17" t="s">
        <v>35</v>
      </c>
      <c r="C43" s="55">
        <v>0.04</v>
      </c>
      <c r="D43" s="32">
        <f t="shared" ref="D43:F43" si="16">D$15*$C43</f>
        <v>1400</v>
      </c>
      <c r="E43" s="32">
        <f t="shared" si="16"/>
        <v>2100</v>
      </c>
      <c r="F43" s="32">
        <f t="shared" si="16"/>
        <v>3080</v>
      </c>
    </row>
    <row r="44" ht="15.75" customHeight="1">
      <c r="B44" s="17" t="s">
        <v>37</v>
      </c>
      <c r="C44" s="55">
        <v>0.03</v>
      </c>
      <c r="D44" s="32">
        <f t="shared" ref="D44:F44" si="17">D$15*$C44</f>
        <v>1050</v>
      </c>
      <c r="E44" s="32">
        <f t="shared" si="17"/>
        <v>1575</v>
      </c>
      <c r="F44" s="32">
        <f t="shared" si="17"/>
        <v>2310</v>
      </c>
    </row>
    <row r="45" ht="15.75" customHeight="1">
      <c r="B45" s="20" t="s">
        <v>45</v>
      </c>
      <c r="C45" s="22">
        <f t="shared" ref="C45:F45" si="18">SUM(C38:C44)</f>
        <v>1</v>
      </c>
      <c r="D45" s="36">
        <f t="shared" si="18"/>
        <v>35000</v>
      </c>
      <c r="E45" s="36">
        <f t="shared" si="18"/>
        <v>52500</v>
      </c>
      <c r="F45" s="36">
        <f t="shared" si="18"/>
        <v>77000</v>
      </c>
    </row>
    <row r="46" ht="15.75" customHeight="1">
      <c r="B46" s="17" t="s">
        <v>312</v>
      </c>
      <c r="D46" s="32">
        <f t="shared" ref="D46:F46" si="19">SUM(D38:D41)</f>
        <v>29750</v>
      </c>
      <c r="E46" s="32">
        <f t="shared" si="19"/>
        <v>44625</v>
      </c>
      <c r="F46" s="32">
        <f t="shared" si="19"/>
        <v>65450</v>
      </c>
    </row>
    <row r="47" ht="15.75" customHeight="1">
      <c r="B47" s="17" t="s">
        <v>313</v>
      </c>
      <c r="D47" s="32">
        <f t="shared" ref="D47:F47" si="20">SUM(D42:D44)</f>
        <v>5250</v>
      </c>
      <c r="E47" s="32">
        <f t="shared" si="20"/>
        <v>7875</v>
      </c>
      <c r="F47" s="32">
        <f t="shared" si="20"/>
        <v>11550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3" width="14.0"/>
    <col customWidth="1" min="4" max="4" width="11.0"/>
    <col customWidth="1" min="5" max="5" width="8.0"/>
    <col customWidth="1" min="6" max="6" width="28.0"/>
    <col customWidth="1" min="7" max="7" width="2.0"/>
    <col customWidth="1" min="8" max="8" width="14.0"/>
    <col customWidth="1" min="9" max="26" width="8.71"/>
  </cols>
  <sheetData>
    <row r="1">
      <c r="A1" s="1" t="s">
        <v>314</v>
      </c>
    </row>
    <row r="2">
      <c r="A2" s="2" t="s">
        <v>315</v>
      </c>
    </row>
    <row r="4">
      <c r="B4" s="14" t="s">
        <v>316</v>
      </c>
      <c r="C4" s="15"/>
      <c r="D4" s="15"/>
      <c r="F4" s="14" t="s">
        <v>317</v>
      </c>
      <c r="G4" s="15"/>
      <c r="H4" s="15"/>
    </row>
    <row r="5">
      <c r="B5" s="17" t="s">
        <v>318</v>
      </c>
      <c r="C5" s="47">
        <f t="array" ref="C5">INDEX(Scenario!$D$26:$F$26,1,Dashboard!$C$6)</f>
        <v>50000</v>
      </c>
      <c r="D5" s="92">
        <f t="shared" ref="D5:D11" si="1">C5/1000</f>
        <v>50</v>
      </c>
      <c r="E5" s="33" t="s">
        <v>319</v>
      </c>
      <c r="F5" s="17" t="s">
        <v>320</v>
      </c>
      <c r="H5" s="25">
        <f t="array" ref="H5">INDEX(Scenario!$D$33:$F$33,1,Dashboard!$C$6)</f>
        <v>1.05</v>
      </c>
    </row>
    <row r="6">
      <c r="B6" s="17" t="s">
        <v>321</v>
      </c>
      <c r="C6" s="47">
        <f>Scenario!C7</f>
        <v>2600</v>
      </c>
      <c r="D6" s="92">
        <f t="shared" si="1"/>
        <v>2.6</v>
      </c>
      <c r="F6" s="17" t="s">
        <v>322</v>
      </c>
      <c r="H6" s="25">
        <f t="array" ref="H6">INDEX(Scenario!$D$32:$F$32,1,Dashboard!$C$6)</f>
        <v>0.04761904762</v>
      </c>
    </row>
    <row r="7">
      <c r="B7" s="17" t="s">
        <v>323</v>
      </c>
      <c r="C7" s="47">
        <f t="array" ref="C7">INDEX(Scenario!$D$15:$F$15,1,Dashboard!$C$6)</f>
        <v>52500</v>
      </c>
      <c r="D7" s="92">
        <f t="shared" si="1"/>
        <v>52.5</v>
      </c>
      <c r="F7" s="17" t="s">
        <v>309</v>
      </c>
      <c r="H7" s="25">
        <f t="array" ref="H7">INDEX(Scenario!$D$34:$F$34,1,Dashboard!$C$6)</f>
        <v>0.05</v>
      </c>
    </row>
    <row r="8">
      <c r="B8" s="17" t="s">
        <v>46</v>
      </c>
      <c r="C8" s="32">
        <f t="array" ref="C8">INDEX(Scenario!$D$31:$F$31,1,Dashboard!$C$6)</f>
        <v>2500</v>
      </c>
      <c r="D8" s="92">
        <f t="shared" si="1"/>
        <v>2.5</v>
      </c>
      <c r="F8" s="17" t="s">
        <v>324</v>
      </c>
      <c r="H8" s="62">
        <f>18000</f>
        <v>18000</v>
      </c>
    </row>
    <row r="9">
      <c r="B9" s="17" t="s">
        <v>325</v>
      </c>
      <c r="C9" s="47">
        <f>Cashflow!$C$3</f>
        <v>2937.852495</v>
      </c>
      <c r="D9" s="92">
        <f t="shared" si="1"/>
        <v>2.937852495</v>
      </c>
      <c r="F9" s="17" t="s">
        <v>326</v>
      </c>
      <c r="H9" s="32">
        <f t="array" ref="H9">INDEX(Scenario!$D$15:$F$15,1,Dashboard!$C$6)+H8</f>
        <v>70500</v>
      </c>
    </row>
    <row r="10">
      <c r="B10" s="17" t="s">
        <v>327</v>
      </c>
      <c r="C10" s="32">
        <f>C9*0.1</f>
        <v>293.7852495</v>
      </c>
      <c r="D10" s="92">
        <f t="shared" si="1"/>
        <v>0.2937852495</v>
      </c>
      <c r="F10" s="17" t="s">
        <v>328</v>
      </c>
      <c r="H10" s="93">
        <f t="array" ref="H10">H9/INDEX(Scenario!$D$26:$F$26,1,Dashboard!$C$6)</f>
        <v>1.41</v>
      </c>
    </row>
    <row r="11">
      <c r="B11" s="26" t="s">
        <v>329</v>
      </c>
      <c r="C11" s="94">
        <f>C9+C10</f>
        <v>3231.637744</v>
      </c>
      <c r="D11" s="92">
        <f t="shared" si="1"/>
        <v>3.231637744</v>
      </c>
      <c r="F11" s="17" t="s">
        <v>330</v>
      </c>
      <c r="H11" s="32">
        <f t="array" ref="H11">INDEX(Scenario!$D$15:$F$15,1,Dashboard!$C$6)*0.2</f>
        <v>10500</v>
      </c>
    </row>
    <row r="13">
      <c r="B13" s="14" t="s">
        <v>331</v>
      </c>
      <c r="C13" s="15"/>
      <c r="D13" s="15"/>
      <c r="F13" s="95" t="s">
        <v>332</v>
      </c>
    </row>
    <row r="14" ht="15.0" customHeight="1">
      <c r="B14" s="16" t="s">
        <v>333</v>
      </c>
      <c r="C14" s="16" t="s">
        <v>123</v>
      </c>
      <c r="D14" s="16" t="s">
        <v>334</v>
      </c>
      <c r="F14" s="96" t="s">
        <v>335</v>
      </c>
    </row>
    <row r="15">
      <c r="B15" s="17" t="s">
        <v>336</v>
      </c>
      <c r="C15" s="32">
        <f>$C$5*0.4</f>
        <v>20000</v>
      </c>
      <c r="D15" s="19">
        <f t="shared" ref="D15:D18" si="2">C15/$C$5</f>
        <v>0.4</v>
      </c>
    </row>
    <row r="16">
      <c r="B16" s="17" t="s">
        <v>337</v>
      </c>
      <c r="C16" s="32">
        <f>$C$5*0.15</f>
        <v>7500</v>
      </c>
      <c r="D16" s="19">
        <f t="shared" si="2"/>
        <v>0.15</v>
      </c>
    </row>
    <row r="17">
      <c r="B17" s="17" t="s">
        <v>338</v>
      </c>
      <c r="C17" s="32">
        <f>$C$5*0.3</f>
        <v>15000</v>
      </c>
      <c r="D17" s="19">
        <f t="shared" si="2"/>
        <v>0.3</v>
      </c>
    </row>
    <row r="18">
      <c r="B18" s="17" t="s">
        <v>339</v>
      </c>
      <c r="C18" s="32">
        <f>$C$5*0.15</f>
        <v>7500</v>
      </c>
      <c r="D18" s="19">
        <f t="shared" si="2"/>
        <v>0.15</v>
      </c>
    </row>
    <row r="19">
      <c r="B19" s="20" t="s">
        <v>340</v>
      </c>
      <c r="C19" s="36">
        <f t="shared" ref="C19:D19" si="3">SUM(C15:C18)</f>
        <v>50000</v>
      </c>
      <c r="D19" s="22">
        <f t="shared" si="3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4:H16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4" width="13.0"/>
    <col customWidth="1" min="5" max="5" width="52.0"/>
    <col customWidth="1" min="6" max="7" width="13.0"/>
    <col customWidth="1" min="8" max="26" width="8.71"/>
  </cols>
  <sheetData>
    <row r="1">
      <c r="A1" s="1" t="s">
        <v>341</v>
      </c>
    </row>
    <row r="2">
      <c r="A2" s="2" t="s">
        <v>342</v>
      </c>
    </row>
    <row r="4">
      <c r="B4" s="14" t="s">
        <v>343</v>
      </c>
      <c r="C4" s="15"/>
      <c r="D4" s="15"/>
      <c r="E4" s="15"/>
      <c r="F4" s="15"/>
      <c r="G4" s="15"/>
    </row>
    <row r="5">
      <c r="B5" s="97" t="s">
        <v>344</v>
      </c>
      <c r="C5" s="98">
        <v>0.0</v>
      </c>
      <c r="D5" s="98">
        <v>0.05</v>
      </c>
      <c r="E5" s="98">
        <v>0.1</v>
      </c>
      <c r="F5" s="98">
        <v>0.15</v>
      </c>
      <c r="G5" s="98">
        <v>0.2</v>
      </c>
    </row>
    <row r="6">
      <c r="B6" s="99">
        <v>0.8</v>
      </c>
      <c r="C6" s="100">
        <f t="array" ref="C6">INDEX(Scenario!$D$15:$F$15,1,Dashboard!$C$6)*0.8-INDEX(Scenario!$D$26:$F$26,1,Dashboard!$C$6)*(1+0)</f>
        <v>-8000</v>
      </c>
      <c r="D6" s="100">
        <f t="array" ref="D6">INDEX(Scenario!$D$15:$F$15,1,Dashboard!$C$6)*0.8-INDEX(Scenario!$D$26:$F$26,1,Dashboard!$C$6)*(1+0.05)</f>
        <v>-10500</v>
      </c>
      <c r="E6" s="100">
        <f t="array" ref="E6">INDEX(Scenario!$D$15:$F$15,1,Dashboard!$C$6)*0.8-INDEX(Scenario!$D$26:$F$26,1,Dashboard!$C$6)*(1+0.1)</f>
        <v>-13000</v>
      </c>
      <c r="F6" s="100">
        <f t="array" ref="F6">INDEX(Scenario!$D$15:$F$15,1,Dashboard!$C$6)*0.8-INDEX(Scenario!$D$26:$F$26,1,Dashboard!$C$6)*(1+0.15)</f>
        <v>-15500</v>
      </c>
      <c r="G6" s="100">
        <f t="array" ref="G6">INDEX(Scenario!$D$15:$F$15,1,Dashboard!$C$6)*0.8-INDEX(Scenario!$D$26:$F$26,1,Dashboard!$C$6)*(1+0.2)</f>
        <v>-18000</v>
      </c>
    </row>
    <row r="7">
      <c r="B7" s="99">
        <v>0.9</v>
      </c>
      <c r="C7" s="100">
        <f t="array" ref="C7">INDEX(Scenario!$D$15:$F$15,1,Dashboard!$C$6)*0.9-INDEX(Scenario!$D$26:$F$26,1,Dashboard!$C$6)*(1+0)</f>
        <v>-2750</v>
      </c>
      <c r="D7" s="100">
        <f t="array" ref="D7">INDEX(Scenario!$D$15:$F$15,1,Dashboard!$C$6)*0.9-INDEX(Scenario!$D$26:$F$26,1,Dashboard!$C$6)*(1+0.05)</f>
        <v>-5250</v>
      </c>
      <c r="E7" s="100">
        <f t="array" ref="E7">INDEX(Scenario!$D$15:$F$15,1,Dashboard!$C$6)*0.9-INDEX(Scenario!$D$26:$F$26,1,Dashboard!$C$6)*(1+0.1)</f>
        <v>-7750</v>
      </c>
      <c r="F7" s="100">
        <f t="array" ref="F7">INDEX(Scenario!$D$15:$F$15,1,Dashboard!$C$6)*0.9-INDEX(Scenario!$D$26:$F$26,1,Dashboard!$C$6)*(1+0.15)</f>
        <v>-10250</v>
      </c>
      <c r="G7" s="100">
        <f t="array" ref="G7">INDEX(Scenario!$D$15:$F$15,1,Dashboard!$C$6)*0.9-INDEX(Scenario!$D$26:$F$26,1,Dashboard!$C$6)*(1+0.2)</f>
        <v>-12750</v>
      </c>
    </row>
    <row r="8">
      <c r="B8" s="99">
        <v>1.0</v>
      </c>
      <c r="C8" s="100">
        <f t="array" ref="C8">INDEX(Scenario!$D$15:$F$15,1,Dashboard!$C$6)*1-INDEX(Scenario!$D$26:$F$26,1,Dashboard!$C$6)*(1+0)</f>
        <v>2500</v>
      </c>
      <c r="D8" s="100">
        <f t="array" ref="D8">INDEX(Scenario!$D$15:$F$15,1,Dashboard!$C$6)*1-INDEX(Scenario!$D$26:$F$26,1,Dashboard!$C$6)*(1+0.05)</f>
        <v>0</v>
      </c>
      <c r="E8" s="100">
        <f t="array" ref="E8">INDEX(Scenario!$D$15:$F$15,1,Dashboard!$C$6)*1-INDEX(Scenario!$D$26:$F$26,1,Dashboard!$C$6)*(1+0.1)</f>
        <v>-2500</v>
      </c>
      <c r="F8" s="100">
        <f t="array" ref="F8">INDEX(Scenario!$D$15:$F$15,1,Dashboard!$C$6)*1-INDEX(Scenario!$D$26:$F$26,1,Dashboard!$C$6)*(1+0.15)</f>
        <v>-5000</v>
      </c>
      <c r="G8" s="100">
        <f t="array" ref="G8">INDEX(Scenario!$D$15:$F$15,1,Dashboard!$C$6)*1-INDEX(Scenario!$D$26:$F$26,1,Dashboard!$C$6)*(1+0.2)</f>
        <v>-7500</v>
      </c>
    </row>
    <row r="9">
      <c r="B9" s="99">
        <v>1.05</v>
      </c>
      <c r="C9" s="100">
        <f t="array" ref="C9">INDEX(Scenario!$D$15:$F$15,1,Dashboard!$C$6)*1.05-INDEX(Scenario!$D$26:$F$26,1,Dashboard!$C$6)*(1+0)</f>
        <v>5125</v>
      </c>
      <c r="D9" s="100">
        <f t="array" ref="D9">INDEX(Scenario!$D$15:$F$15,1,Dashboard!$C$6)*1.05-INDEX(Scenario!$D$26:$F$26,1,Dashboard!$C$6)*(1+0.05)</f>
        <v>2625</v>
      </c>
      <c r="E9" s="100">
        <f t="array" ref="E9">INDEX(Scenario!$D$15:$F$15,1,Dashboard!$C$6)*1.05-INDEX(Scenario!$D$26:$F$26,1,Dashboard!$C$6)*(1+0.1)</f>
        <v>125</v>
      </c>
      <c r="F9" s="100">
        <f t="array" ref="F9">INDEX(Scenario!$D$15:$F$15,1,Dashboard!$C$6)*1.05-INDEX(Scenario!$D$26:$F$26,1,Dashboard!$C$6)*(1+0.15)</f>
        <v>-2375</v>
      </c>
      <c r="G9" s="100">
        <f t="array" ref="G9">INDEX(Scenario!$D$15:$F$15,1,Dashboard!$C$6)*1.05-INDEX(Scenario!$D$26:$F$26,1,Dashboard!$C$6)*(1+0.2)</f>
        <v>-4875</v>
      </c>
    </row>
    <row r="10">
      <c r="B10" s="99">
        <v>1.1</v>
      </c>
      <c r="C10" s="100">
        <f t="array" ref="C10">INDEX(Scenario!$D$15:$F$15,1,Dashboard!$C$6)*1.1-INDEX(Scenario!$D$26:$F$26,1,Dashboard!$C$6)*(1+0)</f>
        <v>7750</v>
      </c>
      <c r="D10" s="100">
        <f t="array" ref="D10">INDEX(Scenario!$D$15:$F$15,1,Dashboard!$C$6)*1.1-INDEX(Scenario!$D$26:$F$26,1,Dashboard!$C$6)*(1+0.05)</f>
        <v>5250</v>
      </c>
      <c r="E10" s="100">
        <f t="array" ref="E10">INDEX(Scenario!$D$15:$F$15,1,Dashboard!$C$6)*1.1-INDEX(Scenario!$D$26:$F$26,1,Dashboard!$C$6)*(1+0.1)</f>
        <v>2750</v>
      </c>
      <c r="F10" s="100">
        <f t="array" ref="F10">INDEX(Scenario!$D$15:$F$15,1,Dashboard!$C$6)*1.1-INDEX(Scenario!$D$26:$F$26,1,Dashboard!$C$6)*(1+0.15)</f>
        <v>250</v>
      </c>
      <c r="G10" s="100">
        <f t="array" ref="G10">INDEX(Scenario!$D$15:$F$15,1,Dashboard!$C$6)*1.1-INDEX(Scenario!$D$26:$F$26,1,Dashboard!$C$6)*(1+0.2)</f>
        <v>-2250</v>
      </c>
    </row>
    <row r="11">
      <c r="B11" s="99">
        <v>1.2</v>
      </c>
      <c r="C11" s="100">
        <f t="array" ref="C11">INDEX(Scenario!$D$15:$F$15,1,Dashboard!$C$6)*1.2-INDEX(Scenario!$D$26:$F$26,1,Dashboard!$C$6)*(1+0)</f>
        <v>13000</v>
      </c>
      <c r="D11" s="100">
        <f t="array" ref="D11">INDEX(Scenario!$D$15:$F$15,1,Dashboard!$C$6)*1.2-INDEX(Scenario!$D$26:$F$26,1,Dashboard!$C$6)*(1+0.05)</f>
        <v>10500</v>
      </c>
      <c r="E11" s="100">
        <f t="array" ref="E11">INDEX(Scenario!$D$15:$F$15,1,Dashboard!$C$6)*1.2-INDEX(Scenario!$D$26:$F$26,1,Dashboard!$C$6)*(1+0.1)</f>
        <v>8000</v>
      </c>
      <c r="F11" s="100">
        <f t="array" ref="F11">INDEX(Scenario!$D$15:$F$15,1,Dashboard!$C$6)*1.2-INDEX(Scenario!$D$26:$F$26,1,Dashboard!$C$6)*(1+0.15)</f>
        <v>5500</v>
      </c>
      <c r="G11" s="100">
        <f t="array" ref="G11">INDEX(Scenario!$D$15:$F$15,1,Dashboard!$C$6)*1.2-INDEX(Scenario!$D$26:$F$26,1,Dashboard!$C$6)*(1+0.2)</f>
        <v>3000</v>
      </c>
    </row>
    <row r="13">
      <c r="B13" s="101" t="s">
        <v>345</v>
      </c>
    </row>
    <row r="14">
      <c r="B14" s="102" t="s">
        <v>346</v>
      </c>
      <c r="C14" s="64">
        <f t="array" ref="C14">INDEX(Scenario!$D$26:$F$26,1,Dashboard!$C$6)/INDEX(Scenario!$D$15:$F$15,1,Dashboard!$C$6)</f>
        <v>0.9523809524</v>
      </c>
      <c r="D14" s="2" t="s">
        <v>347</v>
      </c>
    </row>
    <row r="16">
      <c r="B16" s="14" t="s">
        <v>348</v>
      </c>
      <c r="C16" s="15"/>
      <c r="D16" s="15"/>
      <c r="E16" s="15"/>
    </row>
    <row r="17">
      <c r="B17" s="16" t="s">
        <v>349</v>
      </c>
      <c r="C17" s="16" t="s">
        <v>350</v>
      </c>
      <c r="D17" s="16" t="s">
        <v>351</v>
      </c>
      <c r="E17" s="16" t="s">
        <v>352</v>
      </c>
    </row>
    <row r="18">
      <c r="B18" s="17" t="s">
        <v>353</v>
      </c>
      <c r="C18" s="28" t="s">
        <v>354</v>
      </c>
      <c r="D18" s="28" t="s">
        <v>355</v>
      </c>
      <c r="E18" s="103" t="s">
        <v>356</v>
      </c>
    </row>
    <row r="19">
      <c r="B19" s="17" t="s">
        <v>357</v>
      </c>
      <c r="C19" s="28" t="s">
        <v>354</v>
      </c>
      <c r="D19" s="28" t="s">
        <v>355</v>
      </c>
      <c r="E19" s="103" t="s">
        <v>358</v>
      </c>
    </row>
    <row r="20">
      <c r="B20" s="17" t="s">
        <v>359</v>
      </c>
      <c r="C20" s="28" t="s">
        <v>354</v>
      </c>
      <c r="D20" s="28" t="s">
        <v>354</v>
      </c>
      <c r="E20" s="103" t="s">
        <v>360</v>
      </c>
    </row>
    <row r="21" ht="15.75" customHeight="1">
      <c r="B21" s="17" t="s">
        <v>361</v>
      </c>
      <c r="C21" s="28" t="s">
        <v>355</v>
      </c>
      <c r="D21" s="28" t="s">
        <v>355</v>
      </c>
      <c r="E21" s="103" t="s">
        <v>362</v>
      </c>
    </row>
    <row r="22" ht="15.75" customHeight="1">
      <c r="B22" s="17" t="s">
        <v>363</v>
      </c>
      <c r="C22" s="28" t="s">
        <v>364</v>
      </c>
      <c r="D22" s="28" t="s">
        <v>355</v>
      </c>
      <c r="E22" s="103" t="s">
        <v>365</v>
      </c>
    </row>
    <row r="23" ht="15.75" customHeight="1">
      <c r="B23" s="17" t="s">
        <v>366</v>
      </c>
      <c r="C23" s="28" t="s">
        <v>354</v>
      </c>
      <c r="D23" s="28" t="s">
        <v>355</v>
      </c>
      <c r="E23" s="103" t="s">
        <v>367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